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pkrajewski\Desktop\"/>
    </mc:Choice>
  </mc:AlternateContent>
  <xr:revisionPtr revIDLastSave="0" documentId="13_ncr:1_{76148E1A-2DB1-4E57-86FD-D86747E4B0B2}" xr6:coauthVersionLast="45" xr6:coauthVersionMax="45" xr10:uidLastSave="{00000000-0000-0000-0000-000000000000}"/>
  <bookViews>
    <workbookView xWindow="-28920" yWindow="-120" windowWidth="29040" windowHeight="15840" xr2:uid="{00000000-000D-0000-FFFF-FFFF00000000}"/>
  </bookViews>
  <sheets>
    <sheet name="Dashboard" sheetId="1" r:id="rId1"/>
    <sheet name="Pivots" sheetId="2" state="hidden" r:id="rId2"/>
  </sheets>
  <definedNames>
    <definedName name="Slicer_Category">#N/A</definedName>
    <definedName name="Slicer_Meat">#N/A</definedName>
  </definedNames>
  <calcPr calcId="191029"/>
  <pivotCaches>
    <pivotCache cacheId="7" r:id="rId3"/>
    <pivotCache cacheId="10" r:id="rId4"/>
    <pivotCache cacheId="13" r:id="rId5"/>
  </pivotCaches>
  <extLst>
    <ext xmlns:x14="http://schemas.microsoft.com/office/spreadsheetml/2009/9/main" uri="{876F7934-8845-4945-9796-88D515C7AA90}">
      <x14:pivotCaches>
        <pivotCache cacheId="6" r:id="rId6"/>
      </x14:pivotCaches>
    </ex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eet1_7a61e9a5-895b-4ee0-8884-f11fa38f210b" name="Sheet1" connection="Query - Sheet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8" i="1" l="1"/>
  <c r="V17" i="1"/>
  <c r="V16" i="1"/>
  <c r="V15" i="1"/>
  <c r="V19"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083DDC-3A7F-499D-A656-507B042ED695}" name="Query - Sheet1" description="Connection to the 'Sheet1' query in the workbook." type="100" refreshedVersion="6" minRefreshableVersion="5">
    <extLst>
      <ext xmlns:x15="http://schemas.microsoft.com/office/spreadsheetml/2010/11/main" uri="{DE250136-89BD-433C-8126-D09CA5730AF9}">
        <x15:connection id="1fd1885e-24d6-4b2c-b424-d9645a230b67"/>
      </ext>
    </extLst>
  </connection>
  <connection id="2" xr16:uid="{951685E7-013B-4ABA-95B9-F416015C69D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<sst xmlns="http://schemas.openxmlformats.org/spreadsheetml/2006/main" count="132" uniqueCount="74">
  <si>
    <t>Per Capita Consumption of Poultry and Livestock in US</t>
  </si>
  <si>
    <t>Select category</t>
  </si>
  <si>
    <t>Select meat</t>
  </si>
  <si>
    <t>Sum of Value</t>
  </si>
  <si>
    <t>Fishes</t>
  </si>
  <si>
    <t>Poultry</t>
  </si>
  <si>
    <t>Red Meat</t>
  </si>
  <si>
    <t>Category</t>
  </si>
  <si>
    <t>Years</t>
  </si>
  <si>
    <t>1960</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</si>
  <si>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</si>
  <si>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</si>
  <si>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</si>
  <si>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</si>
  <si>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</si>
  <si>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</si>
  <si>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</si>
  <si>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</si>
  <si>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</si>
  <si>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</si>
  <si>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</si>
  <si>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</si>
  <si>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</si>
  <si>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</si>
  <si>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</si>
  <si>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</si>
  <si>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</si>
  <si>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</si>
  <si>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</si>
  <si>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</si>
  <si>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</si>
  <si>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</si>
  <si>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</si>
  <si>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</si>
  <si>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</si>
  <si>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</si>
  <si>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</si>
  <si>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</si>
  <si>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</si>
  <si>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</si>
  <si>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</si>
  <si>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</si>
  <si>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</si>
  <si>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</si>
  <si>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</si>
  <si>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</si>
  <si>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</si>
  <si>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</si>
  <si>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</si>
  <si>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</si>
  <si>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</si>
  <si>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</si>
  <si>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</si>
  <si>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</si>
  <si>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</si>
  <si>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</si>
  <si>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</si>
  <si>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</si>
  <si>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</si>
  <si>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</si>
  <si>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</si>
  <si>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</si>
  <si>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%share of consumption</t>
  </si>
  <si>
    <t>AVG</t>
  </si>
  <si>
    <t>STDEV</t>
  </si>
  <si>
    <t>MAX</t>
  </si>
  <si>
    <t>MIN</t>
  </si>
  <si>
    <t>Simple Statistics for Category</t>
  </si>
  <si>
    <t>Mean</t>
  </si>
  <si>
    <t>Standard dev.</t>
  </si>
  <si>
    <t>Max value</t>
  </si>
  <si>
    <t>Min Value</t>
  </si>
  <si>
    <t>Range</t>
  </si>
  <si>
    <t>(if category is not selected, it measures all 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</si>
</sst>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
  </numFmts>
  <fonts count="4" x14ac:knownFonts="1">
    <font>
      <sz val="11"/>
      <color theme="1"/>
      <name val="Calibri"/>
      <family val="2"/>
      <scheme val="minor"/>
    </font>
    <font>
      <b/>
      <sz val="12"/>
      <color theme="1"/>
      <name val="Calibri"/>
      <family val="2"/>
      <scheme val="minor"/>
    </font>
    <font>
      <b/>
      <sz val="14"/>
      <color theme="1"/>
      <name val="Calibri"/>
      <family val="2"/>
      <scheme val="minor"/>
    </font>
    <font>
      <sz val="11"/>
      <color rgb="FF00206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2" fillId="0" borderId="0" xfId="0" applyFont="1" applyAlignment="1"/>
    <xf numFmtId="0" fontId="0" fillId="0" borderId="0" xfId="0" pivotButton="1"/>
    <xf numFmtId="0" fontId="1" fillId="0" borderId="0" xfId="0" applyFont="1"/>
    <xf numFmtId="0" fontId="0" fillId="0" borderId="0" xfId="0" applyNumberFormat="1"/>
    <xf numFmtId="164" fontId="0" fillId="0" borderId="0" xfId="0" applyNumberFormat="1"/>
    <xf numFmtId="165" fontId="0" fillId="0" borderId="0" xfId="0" applyNumberFormat="1"/>
    <xf numFmtId="0" fontId="3" fillId="0" borderId="0" xfId="0" applyFont="1"/>
  </cellXfs>
  <cellStyles count="1">
    <cellStyle name="Normal" xfId="0" builtinId="0"/>
  </cellStyles>
  <dxfs count="2">
    <dxf>
      <font>
        <color theme="0"/>
      </font>
      <border>
        <bottom style="thin">
          <color theme="8"/>
        </bottom>
        <vertical/>
        <horizontal/>
      </border>
    </dxf>
    <dxf>
      <font>
        <color theme="1"/>
      </font>
      <border diagonalUp="0" diagonalDown="0">
        <left/>
        <right/>
        <top/>
        <bottom/>
        <vertical/>
        <horizontal/>
      </border>
    </dxf>
  </dxfs>
  <tableStyles count="1" defaultTableStyle="TableStyleMedium2" defaultPivotStyle="PivotStyleLight16">
    <tableStyle name="SlicerStyleDark5 2" pivot="0" table="0" count="10" xr9:uid="{B41958F2-4D94-4621-BC79-6859261C6F63}">
      <tableStyleElement type="wholeTable" dxfId="1"/>
      <tableStyleElement type="headerRow" dxfId="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pivotCacheDefinition" Target="pivotCache/pivotCacheDefinition1.xml"/><Relationship Id="rId21" Type="http://schemas.openxmlformats.org/officeDocument/2006/relationships/customXml" Target="../customXml/item7.xml"/><Relationship Id="rId7" Type="http://schemas.microsoft.com/office/2007/relationships/slicerCache" Target="slicerCaches/slicerCache1.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styles" Target="styles.xml"/><Relationship Id="rId24" Type="http://schemas.openxmlformats.org/officeDocument/2006/relationships/customXml" Target="../customXml/item10.xml"/><Relationship Id="rId32" Type="http://schemas.openxmlformats.org/officeDocument/2006/relationships/customXml" Target="../customXml/item18.xml"/><Relationship Id="rId5" Type="http://schemas.openxmlformats.org/officeDocument/2006/relationships/pivotCacheDefinition" Target="pivotCache/pivotCacheDefinition3.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pivotCacheDefinition" Target="pivotCache/pivotCacheDefinition2.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 Id="rId8"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[Poultry and livestock consumption in US.xlsm]Pivots!PivotTable3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Consumption in pounds</a:t>
            </a:r>
          </a:p>
        </c:rich>
      </c:tx>
      <c:layout>
        <c:manualLayout>
          <c:xMode val="edge"/>
          <c:yMode val="edge"/>
          <c:x val="1.9951432759172844E-2"/>
          <c:y val="2.10186950534900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2">
                <a:lumMod val="60000"/>
                <a:lumOff val="40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1">
                <a:lumMod val="85000"/>
                <a:lumOff val="1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Pivots!$B$3:$B$4</c:f>
              <c:strCache>
                <c:ptCount val="1"/>
                <c:pt idx="0">
                  <c:v>Fishes</c:v>
                </c:pt>
              </c:strCache>
            </c:strRef>
          </c:tx>
          <c:spPr>
            <a:ln w="28575" cap="rnd">
              <a:solidFill>
                <a:schemeClr val="accent1"/>
              </a:solidFill>
              <a:round/>
            </a:ln>
            <a:effectLst/>
          </c:spPr>
          <c:marker>
            <c:symbol val="none"/>
          </c:marker>
          <c:cat>
            <c:strRef>
              <c:f>Pivots!$A$5:$A$57</c:f>
              <c:strCache>
                <c:ptCount val="53"/>
                <c:pt idx="0">
                  <c:v>1960</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pt idx="51">
                  <c:v>2015</c:v>
                </c:pt>
                <c:pt idx="52">
                  <c:v>2016</c:v>
                </c:pt>
              </c:strCache>
            </c:strRef>
          </c:cat>
          <c:val>
            <c:numRef>
              <c:f>Pivots!$B$5:$B$57</c:f>
              <c:numCache>
                <c:formatCode>General</c:formatCode>
                <c:ptCount val="53"/>
                <c:pt idx="0">
                  <c:v>10.3</c:v>
                </c:pt>
                <c:pt idx="1">
                  <c:v>10.9</c:v>
                </c:pt>
                <c:pt idx="2">
                  <c:v>10.9</c:v>
                </c:pt>
                <c:pt idx="3">
                  <c:v>10.6</c:v>
                </c:pt>
                <c:pt idx="4">
                  <c:v>11</c:v>
                </c:pt>
                <c:pt idx="5">
                  <c:v>11.2</c:v>
                </c:pt>
                <c:pt idx="6">
                  <c:v>11.7</c:v>
                </c:pt>
                <c:pt idx="7">
                  <c:v>11.5</c:v>
                </c:pt>
                <c:pt idx="8">
                  <c:v>12.5</c:v>
                </c:pt>
                <c:pt idx="9">
                  <c:v>12.7</c:v>
                </c:pt>
                <c:pt idx="10">
                  <c:v>12.1</c:v>
                </c:pt>
                <c:pt idx="11">
                  <c:v>12.1</c:v>
                </c:pt>
                <c:pt idx="12">
                  <c:v>12.9</c:v>
                </c:pt>
                <c:pt idx="13">
                  <c:v>12.6</c:v>
                </c:pt>
                <c:pt idx="14">
                  <c:v>13.4</c:v>
                </c:pt>
                <c:pt idx="15">
                  <c:v>13</c:v>
                </c:pt>
                <c:pt idx="16">
                  <c:v>12.4</c:v>
                </c:pt>
                <c:pt idx="17">
                  <c:v>12.6</c:v>
                </c:pt>
                <c:pt idx="18">
                  <c:v>12.4</c:v>
                </c:pt>
                <c:pt idx="19">
                  <c:v>13.3</c:v>
                </c:pt>
                <c:pt idx="20">
                  <c:v>14.1</c:v>
                </c:pt>
                <c:pt idx="21">
                  <c:v>15</c:v>
                </c:pt>
                <c:pt idx="22">
                  <c:v>15.4</c:v>
                </c:pt>
                <c:pt idx="23">
                  <c:v>16.100000000000001</c:v>
                </c:pt>
                <c:pt idx="24">
                  <c:v>15.1</c:v>
                </c:pt>
                <c:pt idx="25">
                  <c:v>15.6</c:v>
                </c:pt>
                <c:pt idx="26">
                  <c:v>14.9</c:v>
                </c:pt>
                <c:pt idx="27">
                  <c:v>14.8</c:v>
                </c:pt>
                <c:pt idx="28">
                  <c:v>14.6</c:v>
                </c:pt>
                <c:pt idx="29">
                  <c:v>14.8</c:v>
                </c:pt>
                <c:pt idx="30">
                  <c:v>15</c:v>
                </c:pt>
                <c:pt idx="31">
                  <c:v>14.8</c:v>
                </c:pt>
                <c:pt idx="32">
                  <c:v>14.5</c:v>
                </c:pt>
                <c:pt idx="33">
                  <c:v>14.3</c:v>
                </c:pt>
                <c:pt idx="34">
                  <c:v>14.5</c:v>
                </c:pt>
                <c:pt idx="35">
                  <c:v>14.8</c:v>
                </c:pt>
                <c:pt idx="36">
                  <c:v>15.2</c:v>
                </c:pt>
                <c:pt idx="37">
                  <c:v>14.7</c:v>
                </c:pt>
                <c:pt idx="38">
                  <c:v>15.6</c:v>
                </c:pt>
                <c:pt idx="39">
                  <c:v>16.3</c:v>
                </c:pt>
                <c:pt idx="40">
                  <c:v>16.600000000000001</c:v>
                </c:pt>
                <c:pt idx="41">
                  <c:v>16.2</c:v>
                </c:pt>
                <c:pt idx="42">
                  <c:v>16.5</c:v>
                </c:pt>
                <c:pt idx="43">
                  <c:v>16.3</c:v>
                </c:pt>
                <c:pt idx="44">
                  <c:v>15.9</c:v>
                </c:pt>
                <c:pt idx="45">
                  <c:v>15.8</c:v>
                </c:pt>
                <c:pt idx="46">
                  <c:v>15.8</c:v>
                </c:pt>
                <c:pt idx="47">
                  <c:v>14.9</c:v>
                </c:pt>
                <c:pt idx="48">
                  <c:v>14.2</c:v>
                </c:pt>
                <c:pt idx="49">
                  <c:v>14.3</c:v>
                </c:pt>
                <c:pt idx="50">
                  <c:v>14.6</c:v>
                </c:pt>
                <c:pt idx="51">
                  <c:v>15.5</c:v>
                </c:pt>
              </c:numCache>
            </c:numRef>
          </c:val>
          <c:smooth val="0"/>
          <c:extLst>
            <c:ext xmlns:c16="http://schemas.microsoft.com/office/drawing/2014/chart" uri="{C3380CC4-5D6E-409C-BE32-E72D297353CC}">
              <c16:uniqueId val="{000000A6-2142-40CB-96BA-8FF3C5F14F6E}"/>
            </c:ext>
          </c:extLst>
        </c:ser>
        <c:ser>
          <c:idx val="1"/>
          <c:order val="1"/>
          <c:tx>
            <c:strRef>
              <c:f>Pivots!$C$3:$C$4</c:f>
              <c:strCache>
                <c:ptCount val="1"/>
                <c:pt idx="0">
                  <c:v>Poultry</c:v>
                </c:pt>
              </c:strCache>
            </c:strRef>
          </c:tx>
          <c:spPr>
            <a:ln w="28575" cap="rnd">
              <a:solidFill>
                <a:schemeClr val="accent5">
                  <a:lumMod val="50000"/>
                </a:schemeClr>
              </a:solidFill>
              <a:round/>
            </a:ln>
            <a:effectLst/>
          </c:spPr>
          <c:marker>
            <c:symbol val="none"/>
          </c:marker>
          <c:cat>
            <c:strRef>
              <c:f>Pivots!$A$5:$A$57</c:f>
              <c:strCache>
                <c:ptCount val="53"/>
                <c:pt idx="0">
                  <c:v>1960</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pt idx="51">
                  <c:v>2015</c:v>
                </c:pt>
                <c:pt idx="52">
                  <c:v>2016</c:v>
                </c:pt>
              </c:strCache>
            </c:strRef>
          </c:cat>
          <c:val>
            <c:numRef>
              <c:f>Pivots!$C$5:$C$57</c:f>
              <c:numCache>
                <c:formatCode>General</c:formatCode>
                <c:ptCount val="53"/>
                <c:pt idx="0">
                  <c:v>34.200000000000003</c:v>
                </c:pt>
                <c:pt idx="1">
                  <c:v>44</c:v>
                </c:pt>
                <c:pt idx="2">
                  <c:v>43.7</c:v>
                </c:pt>
                <c:pt idx="3">
                  <c:v>45.3</c:v>
                </c:pt>
                <c:pt idx="4">
                  <c:v>45</c:v>
                </c:pt>
                <c:pt idx="5">
                  <c:v>46.8</c:v>
                </c:pt>
                <c:pt idx="6">
                  <c:v>48.3</c:v>
                </c:pt>
                <c:pt idx="7">
                  <c:v>48.5</c:v>
                </c:pt>
                <c:pt idx="8">
                  <c:v>50.4</c:v>
                </c:pt>
                <c:pt idx="9">
                  <c:v>48.2</c:v>
                </c:pt>
                <c:pt idx="10">
                  <c:v>48.4</c:v>
                </c:pt>
                <c:pt idx="11">
                  <c:v>47</c:v>
                </c:pt>
                <c:pt idx="12">
                  <c:v>50.9</c:v>
                </c:pt>
                <c:pt idx="13">
                  <c:v>51.4</c:v>
                </c:pt>
                <c:pt idx="14">
                  <c:v>53.5</c:v>
                </c:pt>
                <c:pt idx="15">
                  <c:v>56.8</c:v>
                </c:pt>
                <c:pt idx="16">
                  <c:v>57.5</c:v>
                </c:pt>
                <c:pt idx="17">
                  <c:v>59.3</c:v>
                </c:pt>
                <c:pt idx="18">
                  <c:v>59.6</c:v>
                </c:pt>
                <c:pt idx="19">
                  <c:v>60</c:v>
                </c:pt>
                <c:pt idx="20">
                  <c:v>61.9</c:v>
                </c:pt>
                <c:pt idx="21">
                  <c:v>64.099999999999994</c:v>
                </c:pt>
                <c:pt idx="22">
                  <c:v>66.099999999999994</c:v>
                </c:pt>
                <c:pt idx="23">
                  <c:v>71.3</c:v>
                </c:pt>
                <c:pt idx="24">
                  <c:v>72.400000000000006</c:v>
                </c:pt>
                <c:pt idx="25">
                  <c:v>74.400000000000006</c:v>
                </c:pt>
                <c:pt idx="26">
                  <c:v>78.2</c:v>
                </c:pt>
                <c:pt idx="27">
                  <c:v>80.8</c:v>
                </c:pt>
                <c:pt idx="28">
                  <c:v>84.3</c:v>
                </c:pt>
                <c:pt idx="29">
                  <c:v>86.6</c:v>
                </c:pt>
                <c:pt idx="30">
                  <c:v>87.2</c:v>
                </c:pt>
                <c:pt idx="31">
                  <c:v>86.5</c:v>
                </c:pt>
                <c:pt idx="32">
                  <c:v>87.8</c:v>
                </c:pt>
                <c:pt idx="33">
                  <c:v>88.6</c:v>
                </c:pt>
                <c:pt idx="34">
                  <c:v>89.6</c:v>
                </c:pt>
                <c:pt idx="35">
                  <c:v>94</c:v>
                </c:pt>
                <c:pt idx="36">
                  <c:v>94.7</c:v>
                </c:pt>
                <c:pt idx="37">
                  <c:v>94.6</c:v>
                </c:pt>
                <c:pt idx="38">
                  <c:v>98.7</c:v>
                </c:pt>
                <c:pt idx="39">
                  <c:v>99.5</c:v>
                </c:pt>
                <c:pt idx="40">
                  <c:v>101.6</c:v>
                </c:pt>
                <c:pt idx="41">
                  <c:v>103.1</c:v>
                </c:pt>
                <c:pt idx="42">
                  <c:v>103.8</c:v>
                </c:pt>
                <c:pt idx="43">
                  <c:v>103</c:v>
                </c:pt>
                <c:pt idx="44">
                  <c:v>101.4</c:v>
                </c:pt>
                <c:pt idx="45">
                  <c:v>96.9</c:v>
                </c:pt>
                <c:pt idx="46">
                  <c:v>98.8</c:v>
                </c:pt>
                <c:pt idx="47">
                  <c:v>99.3</c:v>
                </c:pt>
                <c:pt idx="48">
                  <c:v>96.7</c:v>
                </c:pt>
                <c:pt idx="49">
                  <c:v>98.2</c:v>
                </c:pt>
                <c:pt idx="50">
                  <c:v>99.6</c:v>
                </c:pt>
                <c:pt idx="51">
                  <c:v>105.2</c:v>
                </c:pt>
                <c:pt idx="52">
                  <c:v>107.6</c:v>
                </c:pt>
              </c:numCache>
            </c:numRef>
          </c:val>
          <c:smooth val="0"/>
          <c:extLst>
            <c:ext xmlns:c16="http://schemas.microsoft.com/office/drawing/2014/chart" uri="{C3380CC4-5D6E-409C-BE32-E72D297353CC}">
              <c16:uniqueId val="{00000001-2590-4FB9-80E0-AD72F1567514}"/>
            </c:ext>
          </c:extLst>
        </c:ser>
        <c:ser>
          <c:idx val="2"/>
          <c:order val="2"/>
          <c:tx>
            <c:strRef>
              <c:f>Pivots!$D$3:$D$4</c:f>
              <c:strCache>
                <c:ptCount val="1"/>
                <c:pt idx="0">
                  <c:v>Red Meat</c:v>
                </c:pt>
              </c:strCache>
            </c:strRef>
          </c:tx>
          <c:spPr>
            <a:ln w="28575" cap="rnd">
              <a:solidFill>
                <a:schemeClr val="accent3"/>
              </a:solidFill>
              <a:round/>
            </a:ln>
            <a:effectLst/>
          </c:spPr>
          <c:marker>
            <c:symbol val="none"/>
          </c:marker>
          <c:cat>
            <c:strRef>
              <c:f>Pivots!$A$5:$A$57</c:f>
              <c:strCache>
                <c:ptCount val="53"/>
                <c:pt idx="0">
                  <c:v>1960</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pt idx="51">
                  <c:v>2015</c:v>
                </c:pt>
                <c:pt idx="52">
                  <c:v>2016</c:v>
                </c:pt>
              </c:strCache>
            </c:strRef>
          </c:cat>
          <c:val>
            <c:numRef>
              <c:f>Pivots!$D$5:$D$57</c:f>
              <c:numCache>
                <c:formatCode>General</c:formatCode>
                <c:ptCount val="53"/>
                <c:pt idx="0">
                  <c:v>122.4</c:v>
                </c:pt>
                <c:pt idx="1">
                  <c:v>126.2</c:v>
                </c:pt>
                <c:pt idx="2">
                  <c:v>128.4</c:v>
                </c:pt>
                <c:pt idx="3">
                  <c:v>134.80000000000001</c:v>
                </c:pt>
                <c:pt idx="4">
                  <c:v>138.19999999999999</c:v>
                </c:pt>
                <c:pt idx="5">
                  <c:v>136.80000000000001</c:v>
                </c:pt>
                <c:pt idx="6">
                  <c:v>139.80000000000001</c:v>
                </c:pt>
                <c:pt idx="7">
                  <c:v>144.5</c:v>
                </c:pt>
                <c:pt idx="8">
                  <c:v>140</c:v>
                </c:pt>
                <c:pt idx="9">
                  <c:v>129.19999999999999</c:v>
                </c:pt>
                <c:pt idx="10">
                  <c:v>138.30000000000001</c:v>
                </c:pt>
                <c:pt idx="11">
                  <c:v>131.1</c:v>
                </c:pt>
                <c:pt idx="12">
                  <c:v>139.19999999999999</c:v>
                </c:pt>
                <c:pt idx="13">
                  <c:v>138.19999999999999</c:v>
                </c:pt>
                <c:pt idx="14">
                  <c:v>133.6</c:v>
                </c:pt>
                <c:pt idx="15">
                  <c:v>131.1</c:v>
                </c:pt>
                <c:pt idx="16">
                  <c:v>133.19999999999999</c:v>
                </c:pt>
                <c:pt idx="17">
                  <c:v>131.4</c:v>
                </c:pt>
                <c:pt idx="18">
                  <c:v>125.5</c:v>
                </c:pt>
                <c:pt idx="19">
                  <c:v>129.80000000000001</c:v>
                </c:pt>
                <c:pt idx="20">
                  <c:v>129.30000000000001</c:v>
                </c:pt>
                <c:pt idx="21">
                  <c:v>130.5</c:v>
                </c:pt>
                <c:pt idx="22">
                  <c:v>127.3</c:v>
                </c:pt>
                <c:pt idx="23">
                  <c:v>122.5</c:v>
                </c:pt>
                <c:pt idx="24">
                  <c:v>124.6</c:v>
                </c:pt>
                <c:pt idx="25">
                  <c:v>120.4</c:v>
                </c:pt>
                <c:pt idx="26">
                  <c:v>116.9</c:v>
                </c:pt>
                <c:pt idx="27">
                  <c:v>116.2</c:v>
                </c:pt>
                <c:pt idx="28">
                  <c:v>118.2</c:v>
                </c:pt>
                <c:pt idx="29">
                  <c:v>116</c:v>
                </c:pt>
                <c:pt idx="30">
                  <c:v>118.2</c:v>
                </c:pt>
                <c:pt idx="31">
                  <c:v>117.9</c:v>
                </c:pt>
                <c:pt idx="32">
                  <c:v>115.1</c:v>
                </c:pt>
                <c:pt idx="33">
                  <c:v>113.1</c:v>
                </c:pt>
                <c:pt idx="34">
                  <c:v>117.8</c:v>
                </c:pt>
                <c:pt idx="35">
                  <c:v>119.8</c:v>
                </c:pt>
                <c:pt idx="36">
                  <c:v>118.3</c:v>
                </c:pt>
                <c:pt idx="37">
                  <c:v>116</c:v>
                </c:pt>
                <c:pt idx="38">
                  <c:v>118.8</c:v>
                </c:pt>
                <c:pt idx="39">
                  <c:v>116.4</c:v>
                </c:pt>
                <c:pt idx="40">
                  <c:v>116.9</c:v>
                </c:pt>
                <c:pt idx="41">
                  <c:v>115</c:v>
                </c:pt>
                <c:pt idx="42">
                  <c:v>114.7</c:v>
                </c:pt>
                <c:pt idx="43">
                  <c:v>115.3</c:v>
                </c:pt>
                <c:pt idx="44">
                  <c:v>111</c:v>
                </c:pt>
                <c:pt idx="45">
                  <c:v>110.4</c:v>
                </c:pt>
                <c:pt idx="46">
                  <c:v>106.5</c:v>
                </c:pt>
                <c:pt idx="47">
                  <c:v>102</c:v>
                </c:pt>
                <c:pt idx="48">
                  <c:v>102.4</c:v>
                </c:pt>
                <c:pt idx="49">
                  <c:v>102.3</c:v>
                </c:pt>
                <c:pt idx="50">
                  <c:v>99.2</c:v>
                </c:pt>
                <c:pt idx="51">
                  <c:v>103</c:v>
                </c:pt>
                <c:pt idx="52">
                  <c:v>106.6</c:v>
                </c:pt>
              </c:numCache>
            </c:numRef>
          </c:val>
          <c:smooth val="0"/>
          <c:extLst>
            <c:ext xmlns:c16="http://schemas.microsoft.com/office/drawing/2014/chart" uri="{C3380CC4-5D6E-409C-BE32-E72D297353CC}">
              <c16:uniqueId val="{00000002-2590-4FB9-80E0-AD72F1567514}"/>
            </c:ext>
          </c:extLst>
        </c:ser>
        <c:dLbls>
          <c:showLegendKey val="0"/>
          <c:showVal val="0"/>
          <c:showCatName val="0"/>
          <c:showSerName val="0"/>
          <c:showPercent val="0"/>
          <c:showBubbleSize val="0"/>
        </c:dLbls>
        <c:smooth val="0"/>
        <c:axId val="1019280576"/>
        <c:axId val="1018738624"/>
      </c:lineChart>
      <c:catAx>
        <c:axId val="101928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80" b="1" i="0" u="none" strike="noStrike" kern="1200" baseline="0">
                <a:solidFill>
                  <a:schemeClr val="tx1">
                    <a:lumMod val="65000"/>
                    <a:lumOff val="35000"/>
                  </a:schemeClr>
                </a:solidFill>
                <a:latin typeface="+mn-lt"/>
                <a:ea typeface="+mn-ea"/>
                <a:cs typeface="+mn-cs"/>
              </a:defRPr>
            </a:pPr>
            <a:endParaRPr lang="en-US"/>
          </a:p>
        </c:txPr>
        <c:crossAx val="1018738624"/>
        <c:crosses val="autoZero"/>
        <c:auto val="1"/>
        <c:lblAlgn val="ctr"/>
        <c:lblOffset val="100"/>
        <c:noMultiLvlLbl val="0"/>
      </c:catAx>
      <c:valAx>
        <c:axId val="10187386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280576"/>
        <c:crosses val="autoZero"/>
        <c:crossBetween val="between"/>
      </c:valAx>
      <c:spPr>
        <a:noFill/>
        <a:ln>
          <a:noFill/>
        </a:ln>
        <a:effectLst/>
      </c:spPr>
    </c:plotArea>
    <c:legend>
      <c:legendPos val="r"/>
      <c:layout>
        <c:manualLayout>
          <c:xMode val="edge"/>
          <c:yMode val="edge"/>
          <c:x val="0.89738077529622495"/>
          <c:y val="4.2310474863368808E-2"/>
          <c:w val="0.10261920207067639"/>
          <c:h val="0.212350746564429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[Poultry and livestock consumption in US.xlsm]Pivots!PivotTable1</c:name>
    <c:fmtId val="5"/>
  </c:pivotSource>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US" sz="1400" baseline="0">
                <a:solidFill>
                  <a:schemeClr val="tx1">
                    <a:lumMod val="65000"/>
                    <a:lumOff val="35000"/>
                  </a:schemeClr>
                </a:solidFill>
              </a:rPr>
              <a:t>% share of consumption</a:t>
            </a:r>
          </a:p>
        </c:rich>
      </c:tx>
      <c:layout>
        <c:manualLayout>
          <c:xMode val="edge"/>
          <c:yMode val="edge"/>
          <c:x val="2.9110968689103955E-2"/>
          <c:y val="2.1137180300147961E-2"/>
        </c:manualLayout>
      </c:layout>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Pivots!$H$3:$H$4</c:f>
              <c:strCache>
                <c:ptCount val="1"/>
                <c:pt idx="0">
                  <c:v>Fishes</c:v>
                </c:pt>
              </c:strCache>
            </c:strRef>
          </c:tx>
          <c:spPr>
            <a:ln w="28575" cap="rnd">
              <a:solidFill>
                <a:schemeClr val="accent1"/>
              </a:solidFill>
              <a:round/>
            </a:ln>
            <a:effectLst/>
          </c:spPr>
          <c:marker>
            <c:symbol val="none"/>
          </c:marker>
          <c:cat>
            <c:strRef>
              <c:f>Pivots!$G$5:$G$57</c:f>
              <c:strCache>
                <c:ptCount val="53"/>
                <c:pt idx="0">
                  <c:v>1960</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pt idx="51">
                  <c:v>2015</c:v>
                </c:pt>
                <c:pt idx="52">
                  <c:v>2016</c:v>
                </c:pt>
              </c:strCache>
            </c:strRef>
          </c:cat>
          <c:val>
            <c:numRef>
              <c:f>Pivots!$H$5:$H$57</c:f>
              <c:numCache>
                <c:formatCode>0.0%</c:formatCode>
                <c:ptCount val="53"/>
                <c:pt idx="0">
                  <c:v>6.1713600958657883E-2</c:v>
                </c:pt>
                <c:pt idx="1">
                  <c:v>6.0187741579237994E-2</c:v>
                </c:pt>
                <c:pt idx="2">
                  <c:v>5.9562841530054644E-2</c:v>
                </c:pt>
                <c:pt idx="3">
                  <c:v>5.5584687991609857E-2</c:v>
                </c:pt>
                <c:pt idx="4">
                  <c:v>5.6642636457260559E-2</c:v>
                </c:pt>
                <c:pt idx="5">
                  <c:v>5.7494866529774119E-2</c:v>
                </c:pt>
                <c:pt idx="6">
                  <c:v>5.855855855855855E-2</c:v>
                </c:pt>
                <c:pt idx="7">
                  <c:v>5.623471882640587E-2</c:v>
                </c:pt>
                <c:pt idx="8">
                  <c:v>6.1606702809265647E-2</c:v>
                </c:pt>
                <c:pt idx="9">
                  <c:v>6.6806943713834818E-2</c:v>
                </c:pt>
                <c:pt idx="10">
                  <c:v>6.0865191146881284E-2</c:v>
                </c:pt>
                <c:pt idx="11">
                  <c:v>6.361724500525763E-2</c:v>
                </c:pt>
                <c:pt idx="12">
                  <c:v>6.354679802955665E-2</c:v>
                </c:pt>
                <c:pt idx="13">
                  <c:v>6.2314540059347182E-2</c:v>
                </c:pt>
                <c:pt idx="14">
                  <c:v>6.6832917705735656E-2</c:v>
                </c:pt>
                <c:pt idx="15">
                  <c:v>6.4708810353409654E-2</c:v>
                </c:pt>
                <c:pt idx="16">
                  <c:v>6.1053668143771542E-2</c:v>
                </c:pt>
                <c:pt idx="17">
                  <c:v>6.1977373339891784E-2</c:v>
                </c:pt>
                <c:pt idx="18">
                  <c:v>6.2784810126582283E-2</c:v>
                </c:pt>
                <c:pt idx="19">
                  <c:v>6.5484982767109803E-2</c:v>
                </c:pt>
                <c:pt idx="20">
                  <c:v>6.8679980516317574E-2</c:v>
                </c:pt>
                <c:pt idx="21">
                  <c:v>7.1564885496183214E-2</c:v>
                </c:pt>
                <c:pt idx="22">
                  <c:v>7.3754789272030649E-2</c:v>
                </c:pt>
                <c:pt idx="23">
                  <c:v>7.6703191996188663E-2</c:v>
                </c:pt>
                <c:pt idx="24">
                  <c:v>7.119283356907119E-2</c:v>
                </c:pt>
                <c:pt idx="25">
                  <c:v>7.4144486692015205E-2</c:v>
                </c:pt>
                <c:pt idx="26">
                  <c:v>7.0952380952380947E-2</c:v>
                </c:pt>
                <c:pt idx="27">
                  <c:v>6.9877242681775253E-2</c:v>
                </c:pt>
                <c:pt idx="28">
                  <c:v>6.7250115154306775E-2</c:v>
                </c:pt>
                <c:pt idx="29">
                  <c:v>6.8077276908923651E-2</c:v>
                </c:pt>
                <c:pt idx="30">
                  <c:v>6.8058076225045366E-2</c:v>
                </c:pt>
                <c:pt idx="31">
                  <c:v>6.7518248175182483E-2</c:v>
                </c:pt>
                <c:pt idx="32">
                  <c:v>6.6697332106715732E-2</c:v>
                </c:pt>
                <c:pt idx="33">
                  <c:v>6.6203703703703709E-2</c:v>
                </c:pt>
                <c:pt idx="34">
                  <c:v>6.5344749887336642E-2</c:v>
                </c:pt>
                <c:pt idx="35">
                  <c:v>6.4741907261592305E-2</c:v>
                </c:pt>
                <c:pt idx="36">
                  <c:v>6.660823838737949E-2</c:v>
                </c:pt>
                <c:pt idx="37">
                  <c:v>6.5246338215712379E-2</c:v>
                </c:pt>
                <c:pt idx="38">
                  <c:v>6.6924066924066924E-2</c:v>
                </c:pt>
                <c:pt idx="39">
                  <c:v>7.0198105081826015E-2</c:v>
                </c:pt>
                <c:pt idx="40">
                  <c:v>7.0608251807741398E-2</c:v>
                </c:pt>
                <c:pt idx="41">
                  <c:v>6.9142125480153638E-2</c:v>
                </c:pt>
                <c:pt idx="42">
                  <c:v>7.0212765957446813E-2</c:v>
                </c:pt>
                <c:pt idx="43">
                  <c:v>6.9479965899403251E-2</c:v>
                </c:pt>
                <c:pt idx="44">
                  <c:v>6.9645203679369244E-2</c:v>
                </c:pt>
                <c:pt idx="45">
                  <c:v>7.0820259973106231E-2</c:v>
                </c:pt>
                <c:pt idx="46">
                  <c:v>7.1460877431026693E-2</c:v>
                </c:pt>
                <c:pt idx="47">
                  <c:v>6.8917668825161899E-2</c:v>
                </c:pt>
                <c:pt idx="48">
                  <c:v>6.6572902015939989E-2</c:v>
                </c:pt>
                <c:pt idx="49">
                  <c:v>6.6573556797020483E-2</c:v>
                </c:pt>
                <c:pt idx="50">
                  <c:v>6.8416119962511707E-2</c:v>
                </c:pt>
                <c:pt idx="51">
                  <c:v>6.9289226642825219E-2</c:v>
                </c:pt>
              </c:numCache>
            </c:numRef>
          </c:val>
          <c:smooth val="0"/>
          <c:extLst>
            <c:ext xmlns:c16="http://schemas.microsoft.com/office/drawing/2014/chart" uri="{C3380CC4-5D6E-409C-BE32-E72D297353CC}">
              <c16:uniqueId val="{00000000-8D4A-41DF-870E-7D188B54EA40}"/>
            </c:ext>
          </c:extLst>
        </c:ser>
        <c:ser>
          <c:idx val="1"/>
          <c:order val="1"/>
          <c:tx>
            <c:strRef>
              <c:f>Pivots!$I$3:$I$4</c:f>
              <c:strCache>
                <c:ptCount val="1"/>
                <c:pt idx="0">
                  <c:v>Poultry</c:v>
                </c:pt>
              </c:strCache>
            </c:strRef>
          </c:tx>
          <c:spPr>
            <a:ln w="28575" cap="rnd">
              <a:solidFill>
                <a:srgbClr val="002060"/>
              </a:solidFill>
              <a:round/>
            </a:ln>
            <a:effectLst/>
          </c:spPr>
          <c:marker>
            <c:symbol val="none"/>
          </c:marker>
          <c:cat>
            <c:strRef>
              <c:f>Pivots!$G$5:$G$57</c:f>
              <c:strCache>
                <c:ptCount val="53"/>
                <c:pt idx="0">
                  <c:v>1960</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pt idx="51">
                  <c:v>2015</c:v>
                </c:pt>
                <c:pt idx="52">
                  <c:v>2016</c:v>
                </c:pt>
              </c:strCache>
            </c:strRef>
          </c:cat>
          <c:val>
            <c:numRef>
              <c:f>Pivots!$I$5:$I$57</c:f>
              <c:numCache>
                <c:formatCode>0.0%</c:formatCode>
                <c:ptCount val="53"/>
                <c:pt idx="0">
                  <c:v>0.20491312162971839</c:v>
                </c:pt>
                <c:pt idx="1">
                  <c:v>0.24295969077857538</c:v>
                </c:pt>
                <c:pt idx="2">
                  <c:v>0.23879781420765028</c:v>
                </c:pt>
                <c:pt idx="3">
                  <c:v>0.23754588358678552</c:v>
                </c:pt>
                <c:pt idx="4">
                  <c:v>0.23171987641606592</c:v>
                </c:pt>
                <c:pt idx="5">
                  <c:v>0.24024640657084187</c:v>
                </c:pt>
                <c:pt idx="6">
                  <c:v>0.24174174174174171</c:v>
                </c:pt>
                <c:pt idx="7">
                  <c:v>0.23716381418092911</c:v>
                </c:pt>
                <c:pt idx="8">
                  <c:v>0.24839822572695908</c:v>
                </c:pt>
                <c:pt idx="9">
                  <c:v>0.253550762756444</c:v>
                </c:pt>
                <c:pt idx="10">
                  <c:v>0.24346076458752514</c:v>
                </c:pt>
                <c:pt idx="11">
                  <c:v>0.24710830704521558</c:v>
                </c:pt>
                <c:pt idx="12">
                  <c:v>0.25073891625615763</c:v>
                </c:pt>
                <c:pt idx="13">
                  <c:v>0.25420375865479722</c:v>
                </c:pt>
                <c:pt idx="14">
                  <c:v>0.26683291770573564</c:v>
                </c:pt>
                <c:pt idx="15">
                  <c:v>0.28272772523643602</c:v>
                </c:pt>
                <c:pt idx="16">
                  <c:v>0.28311176760216644</c:v>
                </c:pt>
                <c:pt idx="17">
                  <c:v>0.29168716182980814</c:v>
                </c:pt>
                <c:pt idx="18">
                  <c:v>0.30177215189873419</c:v>
                </c:pt>
                <c:pt idx="19">
                  <c:v>0.29542097488921715</c:v>
                </c:pt>
                <c:pt idx="20">
                  <c:v>0.30150998538723817</c:v>
                </c:pt>
                <c:pt idx="21">
                  <c:v>0.30582061068702288</c:v>
                </c:pt>
                <c:pt idx="22">
                  <c:v>0.31657088122605359</c:v>
                </c:pt>
                <c:pt idx="23">
                  <c:v>0.33968556455454979</c:v>
                </c:pt>
                <c:pt idx="24">
                  <c:v>0.3413484205563414</c:v>
                </c:pt>
                <c:pt idx="25">
                  <c:v>0.35361216730038025</c:v>
                </c:pt>
                <c:pt idx="26">
                  <c:v>0.37238095238095237</c:v>
                </c:pt>
                <c:pt idx="27">
                  <c:v>0.38149197355996217</c:v>
                </c:pt>
                <c:pt idx="28">
                  <c:v>0.38830032243205898</c:v>
                </c:pt>
                <c:pt idx="29">
                  <c:v>0.39834406623735047</c:v>
                </c:pt>
                <c:pt idx="30">
                  <c:v>0.39564428312159711</c:v>
                </c:pt>
                <c:pt idx="31">
                  <c:v>0.39461678832116792</c:v>
                </c:pt>
                <c:pt idx="32">
                  <c:v>0.40386384544618215</c:v>
                </c:pt>
                <c:pt idx="33">
                  <c:v>0.41018518518518515</c:v>
                </c:pt>
                <c:pt idx="34">
                  <c:v>0.40378548895899052</c:v>
                </c:pt>
                <c:pt idx="35">
                  <c:v>0.41119860017497811</c:v>
                </c:pt>
                <c:pt idx="36">
                  <c:v>0.41498685363716042</c:v>
                </c:pt>
                <c:pt idx="37">
                  <c:v>0.41988459831335989</c:v>
                </c:pt>
                <c:pt idx="38">
                  <c:v>0.42342342342342343</c:v>
                </c:pt>
                <c:pt idx="39">
                  <c:v>0.42850990525409133</c:v>
                </c:pt>
                <c:pt idx="40">
                  <c:v>0.43215652913653763</c:v>
                </c:pt>
                <c:pt idx="41">
                  <c:v>0.44003414425949633</c:v>
                </c:pt>
                <c:pt idx="42">
                  <c:v>0.44170212765957445</c:v>
                </c:pt>
                <c:pt idx="43">
                  <c:v>0.43904518329070757</c:v>
                </c:pt>
                <c:pt idx="44">
                  <c:v>0.44415243101182655</c:v>
                </c:pt>
                <c:pt idx="45">
                  <c:v>0.43433437920215151</c:v>
                </c:pt>
                <c:pt idx="46">
                  <c:v>0.44685662596110359</c:v>
                </c:pt>
                <c:pt idx="47">
                  <c:v>0.45929694727104536</c:v>
                </c:pt>
                <c:pt idx="48">
                  <c:v>0.45335208626347867</c:v>
                </c:pt>
                <c:pt idx="49">
                  <c:v>0.45716945996275604</c:v>
                </c:pt>
                <c:pt idx="50">
                  <c:v>0.46672914714151825</c:v>
                </c:pt>
                <c:pt idx="51">
                  <c:v>0.47027268663388472</c:v>
                </c:pt>
                <c:pt idx="52">
                  <c:v>0.50233426704014938</c:v>
                </c:pt>
              </c:numCache>
            </c:numRef>
          </c:val>
          <c:smooth val="0"/>
          <c:extLst>
            <c:ext xmlns:c16="http://schemas.microsoft.com/office/drawing/2014/chart" uri="{C3380CC4-5D6E-409C-BE32-E72D297353CC}">
              <c16:uniqueId val="{00000001-9CA3-48B6-B990-C8B7E3B0AAD8}"/>
            </c:ext>
          </c:extLst>
        </c:ser>
        <c:ser>
          <c:idx val="2"/>
          <c:order val="2"/>
          <c:tx>
            <c:strRef>
              <c:f>Pivots!$J$3:$J$4</c:f>
              <c:strCache>
                <c:ptCount val="1"/>
                <c:pt idx="0">
                  <c:v>Red Meat</c:v>
                </c:pt>
              </c:strCache>
            </c:strRef>
          </c:tx>
          <c:spPr>
            <a:ln w="28575" cap="rnd">
              <a:solidFill>
                <a:schemeClr val="accent3"/>
              </a:solidFill>
              <a:round/>
            </a:ln>
            <a:effectLst/>
          </c:spPr>
          <c:marker>
            <c:symbol val="none"/>
          </c:marker>
          <c:cat>
            <c:strRef>
              <c:f>Pivots!$G$5:$G$57</c:f>
              <c:strCache>
                <c:ptCount val="53"/>
                <c:pt idx="0">
                  <c:v>1960</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pt idx="51">
                  <c:v>2015</c:v>
                </c:pt>
                <c:pt idx="52">
                  <c:v>2016</c:v>
                </c:pt>
              </c:strCache>
            </c:strRef>
          </c:cat>
          <c:val>
            <c:numRef>
              <c:f>Pivots!$J$5:$J$57</c:f>
              <c:numCache>
                <c:formatCode>0.0%</c:formatCode>
                <c:ptCount val="53"/>
                <c:pt idx="0">
                  <c:v>0.73337327741162373</c:v>
                </c:pt>
                <c:pt idx="1">
                  <c:v>0.69685256764218673</c:v>
                </c:pt>
                <c:pt idx="2">
                  <c:v>0.70163934426229513</c:v>
                </c:pt>
                <c:pt idx="3">
                  <c:v>0.70686942842160472</c:v>
                </c:pt>
                <c:pt idx="4">
                  <c:v>0.71163748712667352</c:v>
                </c:pt>
                <c:pt idx="5">
                  <c:v>0.70225872689938396</c:v>
                </c:pt>
                <c:pt idx="6">
                  <c:v>0.6996996996996997</c:v>
                </c:pt>
                <c:pt idx="7">
                  <c:v>0.70660146699266502</c:v>
                </c:pt>
                <c:pt idx="8">
                  <c:v>0.68999507146377526</c:v>
                </c:pt>
                <c:pt idx="9">
                  <c:v>0.67964229352972116</c:v>
                </c:pt>
                <c:pt idx="10">
                  <c:v>0.69567404426559354</c:v>
                </c:pt>
                <c:pt idx="11">
                  <c:v>0.68927444794952686</c:v>
                </c:pt>
                <c:pt idx="12">
                  <c:v>0.68571428571428561</c:v>
                </c:pt>
                <c:pt idx="13">
                  <c:v>0.68348170128585561</c:v>
                </c:pt>
                <c:pt idx="14">
                  <c:v>0.66633416458852868</c:v>
                </c:pt>
                <c:pt idx="15">
                  <c:v>0.65256346441015423</c:v>
                </c:pt>
                <c:pt idx="16">
                  <c:v>0.65583456425406195</c:v>
                </c:pt>
                <c:pt idx="17">
                  <c:v>0.64633546483030002</c:v>
                </c:pt>
                <c:pt idx="18">
                  <c:v>0.63544303797468349</c:v>
                </c:pt>
                <c:pt idx="19">
                  <c:v>0.63909404234367317</c:v>
                </c:pt>
                <c:pt idx="20">
                  <c:v>0.6298100340964442</c:v>
                </c:pt>
                <c:pt idx="21">
                  <c:v>0.62261450381679395</c:v>
                </c:pt>
                <c:pt idx="22">
                  <c:v>0.60967432950191569</c:v>
                </c:pt>
                <c:pt idx="23">
                  <c:v>0.58361124344926152</c:v>
                </c:pt>
                <c:pt idx="24">
                  <c:v>0.58745874587458746</c:v>
                </c:pt>
                <c:pt idx="25">
                  <c:v>0.57224334600760463</c:v>
                </c:pt>
                <c:pt idx="26">
                  <c:v>0.55666666666666664</c:v>
                </c:pt>
                <c:pt idx="27">
                  <c:v>0.54863078375826246</c:v>
                </c:pt>
                <c:pt idx="28">
                  <c:v>0.54444956241363429</c:v>
                </c:pt>
                <c:pt idx="29">
                  <c:v>0.53357865685372585</c:v>
                </c:pt>
                <c:pt idx="30">
                  <c:v>0.5362976406533575</c:v>
                </c:pt>
                <c:pt idx="31">
                  <c:v>0.53786496350364965</c:v>
                </c:pt>
                <c:pt idx="32">
                  <c:v>0.52943882244710205</c:v>
                </c:pt>
                <c:pt idx="33">
                  <c:v>0.52361111111111114</c:v>
                </c:pt>
                <c:pt idx="34">
                  <c:v>0.53086976115367279</c:v>
                </c:pt>
                <c:pt idx="35">
                  <c:v>0.52405949256342954</c:v>
                </c:pt>
                <c:pt idx="36">
                  <c:v>0.51840490797546013</c:v>
                </c:pt>
                <c:pt idx="37">
                  <c:v>0.51486906347092765</c:v>
                </c:pt>
                <c:pt idx="38">
                  <c:v>0.50965250965250963</c:v>
                </c:pt>
                <c:pt idx="39">
                  <c:v>0.50129198966408273</c:v>
                </c:pt>
                <c:pt idx="40">
                  <c:v>0.49723521905572099</c:v>
                </c:pt>
                <c:pt idx="41">
                  <c:v>0.49082373026034998</c:v>
                </c:pt>
                <c:pt idx="42">
                  <c:v>0.48808510638297875</c:v>
                </c:pt>
                <c:pt idx="43">
                  <c:v>0.49147485080988917</c:v>
                </c:pt>
                <c:pt idx="44">
                  <c:v>0.48620236530880417</c:v>
                </c:pt>
                <c:pt idx="45">
                  <c:v>0.49484536082474229</c:v>
                </c:pt>
                <c:pt idx="46">
                  <c:v>0.48168249660786977</c:v>
                </c:pt>
                <c:pt idx="47">
                  <c:v>0.47178538390379282</c:v>
                </c:pt>
                <c:pt idx="48">
                  <c:v>0.48007501172058137</c:v>
                </c:pt>
                <c:pt idx="49">
                  <c:v>0.47625698324022342</c:v>
                </c:pt>
                <c:pt idx="50">
                  <c:v>0.46485473289597001</c:v>
                </c:pt>
                <c:pt idx="51">
                  <c:v>0.46043808672329012</c:v>
                </c:pt>
                <c:pt idx="52">
                  <c:v>0.49766573295985062</c:v>
                </c:pt>
              </c:numCache>
            </c:numRef>
          </c:val>
          <c:smooth val="0"/>
          <c:extLst>
            <c:ext xmlns:c16="http://schemas.microsoft.com/office/drawing/2014/chart" uri="{C3380CC4-5D6E-409C-BE32-E72D297353CC}">
              <c16:uniqueId val="{00000002-9CA3-48B6-B990-C8B7E3B0AAD8}"/>
            </c:ext>
          </c:extLst>
        </c:ser>
        <c:dLbls>
          <c:showLegendKey val="0"/>
          <c:showVal val="0"/>
          <c:showCatName val="0"/>
          <c:showSerName val="0"/>
          <c:showPercent val="0"/>
          <c:showBubbleSize val="0"/>
        </c:dLbls>
        <c:smooth val="0"/>
        <c:axId val="1030158559"/>
        <c:axId val="2079791583"/>
      </c:lineChart>
      <c:catAx>
        <c:axId val="1030158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80" b="1" i="0" u="none" strike="noStrike" kern="1200" baseline="0">
                <a:solidFill>
                  <a:schemeClr val="tx1">
                    <a:lumMod val="65000"/>
                    <a:lumOff val="35000"/>
                  </a:schemeClr>
                </a:solidFill>
                <a:latin typeface="+mn-lt"/>
                <a:ea typeface="+mn-ea"/>
                <a:cs typeface="+mn-cs"/>
              </a:defRPr>
            </a:pPr>
            <a:endParaRPr lang="en-US"/>
          </a:p>
        </c:txPr>
        <c:crossAx val="2079791583"/>
        <c:crosses val="autoZero"/>
        <c:auto val="1"/>
        <c:lblAlgn val="ctr"/>
        <c:lblOffset val="100"/>
        <c:noMultiLvlLbl val="0"/>
      </c:catAx>
      <c:valAx>
        <c:axId val="207979158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030158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362798</xdr:colOff>
      <xdr:row>0</xdr:row>
      <xdr:rowOff>77553</xdr:rowOff>
    </xdr:from>
    <xdr:to>
      <xdr:col>2</xdr:col>
      <xdr:colOff>209225</xdr:colOff>
      <xdr:row>2</xdr:row>
      <xdr:rowOff>132927</xdr:rowOff>
    </xdr:to>
    <xdr:pic>
      <xdr:nvPicPr>
        <xdr:cNvPr id="3" name="Picture 2" descr="The US meat and poultry industry responsible for 5.4 million jobs – Move To  America">
          <a:extLst>
            <a:ext uri="{FF2B5EF4-FFF2-40B4-BE49-F238E27FC236}">
              <a16:creationId xmlns:a16="http://schemas.microsoft.com/office/drawing/2014/main" id="{C2E2F09C-C194-44BF-AE29-EE1DAE2752F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798" y="77553"/>
          <a:ext cx="788344" cy="4833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524933</xdr:colOff>
      <xdr:row>7</xdr:row>
      <xdr:rowOff>136948</xdr:rowOff>
    </xdr:from>
    <xdr:to>
      <xdr:col>4</xdr:col>
      <xdr:colOff>403436</xdr:colOff>
      <xdr:row>14</xdr:row>
      <xdr:rowOff>168275</xdr:rowOff>
    </xdr:to>
    <mc:AlternateContent xmlns:mc="http://schemas.openxmlformats.org/markup-compatibility/2006" xmlns:a14="http://schemas.microsoft.com/office/drawing/2010/main">
      <mc:Choice Requires="a14">
        <xdr:graphicFrame macro="">
          <xdr:nvGraphicFramePr>
            <xdr:cNvPr id="7" name="Category">
              <a:extLst>
                <a:ext uri="{FF2B5EF4-FFF2-40B4-BE49-F238E27FC236}">
                  <a16:creationId xmlns:a16="http://schemas.microsoft.com/office/drawing/2014/main" id="{9E650FE9-BF2B-479B-9A16-7A1AA143E10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23028" y="1466638"/>
              <a:ext cx="1838325" cy="1315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532553</xdr:colOff>
      <xdr:row>17</xdr:row>
      <xdr:rowOff>111972</xdr:rowOff>
    </xdr:from>
    <xdr:to>
      <xdr:col>4</xdr:col>
      <xdr:colOff>403436</xdr:colOff>
      <xdr:row>31</xdr:row>
      <xdr:rowOff>56304</xdr:rowOff>
    </xdr:to>
    <mc:AlternateContent xmlns:mc="http://schemas.openxmlformats.org/markup-compatibility/2006" xmlns:a14="http://schemas.microsoft.com/office/drawing/2010/main">
      <mc:Choice Requires="a14">
        <xdr:graphicFrame macro="">
          <xdr:nvGraphicFramePr>
            <xdr:cNvPr id="8" name="Meat">
              <a:extLst>
                <a:ext uri="{FF2B5EF4-FFF2-40B4-BE49-F238E27FC236}">
                  <a16:creationId xmlns:a16="http://schemas.microsoft.com/office/drawing/2014/main" id="{915DC296-8D63-4BE6-817E-20804A688667}"/>
                </a:ext>
              </a:extLst>
            </xdr:cNvPr>
            <xdr:cNvGraphicFramePr/>
          </xdr:nvGraphicFramePr>
          <xdr:xfrm>
            <a:off x="0" y="0"/>
            <a:ext cx="0" cy="0"/>
          </xdr:xfrm>
          <a:graphic>
            <a:graphicData uri="http://schemas.microsoft.com/office/drawing/2010/slicer">
              <sle:slicer xmlns:sle="http://schemas.microsoft.com/office/drawing/2010/slicer" name="Meat"/>
            </a:graphicData>
          </a:graphic>
        </xdr:graphicFrame>
      </mc:Choice>
      <mc:Fallback xmlns="">
        <xdr:sp macro="" textlink="">
          <xdr:nvSpPr>
            <xdr:cNvPr id="0" name=""/>
            <xdr:cNvSpPr>
              <a:spLocks noTextEdit="1"/>
            </xdr:cNvSpPr>
          </xdr:nvSpPr>
          <xdr:spPr>
            <a:xfrm>
              <a:off x="532553" y="3286972"/>
              <a:ext cx="1828800" cy="2463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354963</xdr:colOff>
      <xdr:row>3</xdr:row>
      <xdr:rowOff>95037</xdr:rowOff>
    </xdr:from>
    <xdr:to>
      <xdr:col>17</xdr:col>
      <xdr:colOff>514775</xdr:colOff>
      <xdr:row>20</xdr:row>
      <xdr:rowOff>15241</xdr:rowOff>
    </xdr:to>
    <xdr:graphicFrame macro="">
      <xdr:nvGraphicFramePr>
        <xdr:cNvPr id="10" name="Chart 9">
          <a:extLst>
            <a:ext uri="{FF2B5EF4-FFF2-40B4-BE49-F238E27FC236}">
              <a16:creationId xmlns:a16="http://schemas.microsoft.com/office/drawing/2014/main" id="{76D7903F-2762-44F3-93B3-D0713EF6562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321309</xdr:colOff>
      <xdr:row>22</xdr:row>
      <xdr:rowOff>17144</xdr:rowOff>
    </xdr:from>
    <xdr:to>
      <xdr:col>16</xdr:col>
      <xdr:colOff>277072</xdr:colOff>
      <xdr:row>38</xdr:row>
      <xdr:rowOff>133138</xdr:rowOff>
    </xdr:to>
    <xdr:graphicFrame macro="">
      <xdr:nvGraphicFramePr>
        <xdr:cNvPr id="6" name="Chart 5">
          <a:extLst>
            <a:ext uri="{FF2B5EF4-FFF2-40B4-BE49-F238E27FC236}">
              <a16:creationId xmlns:a16="http://schemas.microsoft.com/office/drawing/2014/main" id="{7F935AF5-0E6B-4F4C-9710-B9EC638913A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130810</xdr:colOff>
      <xdr:row>32</xdr:row>
      <xdr:rowOff>155788</xdr:rowOff>
    </xdr:from>
    <xdr:to>
      <xdr:col>4</xdr:col>
      <xdr:colOff>441536</xdr:colOff>
      <xdr:row>39</xdr:row>
      <xdr:rowOff>86572</xdr:rowOff>
    </xdr:to>
    <xdr:sp macro="" textlink="">
      <xdr:nvSpPr>
        <xdr:cNvPr id="2" name="TextBox 1">
          <a:extLst>
            <a:ext uri="{FF2B5EF4-FFF2-40B4-BE49-F238E27FC236}">
              <a16:creationId xmlns:a16="http://schemas.microsoft.com/office/drawing/2014/main" id="{BD73A9AE-C883-4FF2-96E8-D2494591E129}"/>
            </a:ext>
          </a:extLst>
        </xdr:cNvPr>
        <xdr:cNvSpPr txBox="1"/>
      </xdr:nvSpPr>
      <xdr:spPr>
        <a:xfrm>
          <a:off x="130810" y="6008371"/>
          <a:ext cx="2268643" cy="11902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chemeClr val="tx2"/>
              </a:solidFill>
            </a:rPr>
            <a:t>Data about US meat consumption 1960-2016</a:t>
          </a:r>
        </a:p>
        <a:p>
          <a:endParaRPr lang="en-US" sz="800">
            <a:solidFill>
              <a:schemeClr val="tx2"/>
            </a:solidFill>
          </a:endParaRPr>
        </a:p>
        <a:p>
          <a:r>
            <a:rPr lang="en-US" sz="800">
              <a:solidFill>
                <a:schemeClr val="tx2"/>
              </a:solidFill>
            </a:rPr>
            <a:t>Data Source: https://data.world/makeovermonday/2018-w-1-u-s-per-capita-consumption-of-poultry-livestock/workspace/data-dictionary</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Patryk Krajewski" refreshedDate="44314.557816898145" backgroundQuery="1" createdVersion="6" refreshedVersion="6" minRefreshableVersion="3" recordCount="0" supportSubquery="1" supportAdvancedDrill="1" xr:uid="{1B3FBE1E-E206-4763-AFF2-F07BA32B8C9F}">
  <cacheSource type="external" connectionId="2"/>
  <cacheFields count="6">
    <cacheField name="[Product_Hierarchy_Set].[Sheet1].[Hierarchy].[Category]" caption="Category" numFmtId="0" hierarchy="16">
      <sharedItems count="3">
        <s v="Fishes"/>
        <s v="Poultry"/>
        <s v="Red Meat"/>
      </sharedItems>
      <extLst>
        <ext xmlns:x15="http://schemas.microsoft.com/office/spreadsheetml/2010/11/main" uri="{4F2E5C28-24EA-4eb8-9CBF-B6C8F9C3D259}">
          <x15:cachedUniqueNames>
            <x15:cachedUniqueName index="0" name="[Sheet1].[Hierarchy].[Category].&amp;[Fishes]"/>
            <x15:cachedUniqueName index="1" name="[Sheet1].[Hierarchy].[Category].&amp;[Poultry]"/>
            <x15:cachedUniqueName index="2" name="[Sheet1].[Hierarchy].[Category].&amp;[Red Meat]"/>
          </x15:cachedUniqueNames>
        </ext>
      </extLst>
    </cacheField>
    <cacheField name="[Product_Hierarchy_Set].[Sheet1].[Hierarchy].[Meat]" caption="Meat" numFmtId="0" hierarchy="16" level="1">
      <sharedItems containsNonDate="0" count="5">
        <s v="Beef"/>
        <s v="Pork"/>
        <s v="Broilers" u="1"/>
        <s v="Other Chicken" u="1"/>
        <s v="Turkey" u="1"/>
      </sharedItems>
      <extLst>
        <ext xmlns:x15="http://schemas.microsoft.com/office/spreadsheetml/2010/11/main" uri="{4F2E5C28-24EA-4eb8-9CBF-B6C8F9C3D259}">
          <x15:cachedUniqueNames>
            <x15:cachedUniqueName index="0" name="[Sheet1].[Hierarchy].[Meat].&amp;[Beef]"/>
            <x15:cachedUniqueName index="1" name="[Sheet1].[Hierarchy].[Meat].&amp;[Pork]"/>
            <x15:cachedUniqueName index="2" name="[Sheet1].[Hierarchy].[Meat].&amp;[Broilers]"/>
            <x15:cachedUniqueName index="3" name="[Sheet1].[Hierarchy].[Meat].&amp;[Other Chicken]"/>
            <x15:cachedUniqueName index="4" name="[Sheet1].[Hierarchy].[Meat].&amp;[Turkey]"/>
          </x15:cachedUniqueNames>
        </ext>
      </extLst>
    </cacheField>
    <cacheField name="[Sheet1].[Years].[Years]" caption="Years" numFmtId="0" level="1">
      <sharedItems count="53">
        <s v="1960"/>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haredItems>
    </cacheField>
    <cacheField name="[Measures].[%share of consumption]" caption="%share of consumption" numFmtId="0" hierarchy="9" level="32767"/>
    <cacheField name="[Sheet1].[Category].[Category]" caption="Category" numFmtId="0" hierarchy="3" level="1">
      <sharedItems containsSemiMixedTypes="0" containsNonDate="0" containsString="0"/>
    </cacheField>
    <cacheField name="[Sheet1].[Meat].[Meat]" caption="Meat" numFmtId="0" hierarchy="4" level="1">
      <sharedItems containsSemiMixedTypes="0" containsNonDate="0" containsString="0"/>
    </cacheField>
  </cacheFields>
  <cacheHierarchies count="17">
    <cacheHierarchy uniqueName="[Sheet1].[Years]" caption="Years" attribute="1" defaultMemberUniqueName="[Sheet1].[Years].[All]" allUniqueName="[Sheet1].[Years].[All]" dimensionUniqueName="[Sheet1]" displayFolder="" count="2" memberValueDatatype="130" unbalanced="0">
      <fieldsUsage count="2">
        <fieldUsage x="-1"/>
        <fieldUsage x="2"/>
      </fieldsUsage>
    </cacheHierarchy>
    <cacheHierarchy uniqueName="[Sheet1].[Actual/Forecast]" caption="Actual/Forecast" attribute="1" defaultMemberUniqueName="[Sheet1].[Actual/Forecast].[All]" allUniqueName="[Sheet1].[Actual/Forecast].[All]" dimensionUniqueName="[Sheet1]" displayFolder="" count="0" memberValueDatatype="130" unbalanced="0"/>
    <cacheHierarchy uniqueName="[Sheet1].[Hierarchy]" caption="Hierarchy" defaultMemberUniqueName="[Sheet1].[Hierarchy].[All]" allUniqueName="[Sheet1].[Hierarchy].[All]" dimensionUniqueName="[Sheet1]" displayFolder="" count="0" unbalanced="0"/>
    <cacheHierarchy uniqueName="[Sheet1].[Category]" caption="Category" attribute="1" defaultMemberUniqueName="[Sheet1].[Category].[All]" allUniqueName="[Sheet1].[Category].[All]" dimensionUniqueName="[Sheet1]" displayFolder="" count="2" memberValueDatatype="130" unbalanced="0">
      <fieldsUsage count="2">
        <fieldUsage x="-1"/>
        <fieldUsage x="4"/>
      </fieldsUsage>
    </cacheHierarchy>
    <cacheHierarchy uniqueName="[Sheet1].[Meat]" caption="Meat" attribute="1" defaultMemberUniqueName="[Sheet1].[Meat].[All]" allUniqueName="[Sheet1].[Meat].[All]" dimensionUniqueName="[Sheet1]" displayFolder="" count="2" memberValueDatatype="130" unbalanced="0">
      <fieldsUsage count="2">
        <fieldUsage x="-1"/>
        <fieldUsage x="5"/>
      </fieldsUsage>
    </cacheHierarchy>
    <cacheHierarchy uniqueName="[Sheet1].[Value]" caption="Value" attribute="1" defaultMemberUniqueName="[Sheet1].[Value].[All]" allUniqueName="[Sheet1].[Value].[All]" dimensionUniqueName="[Sheet1]" displayFolder="" count="0" memberValueDatatype="5" unbalanced="0"/>
    <cacheHierarchy uniqueName="[Measures].[Sum of Value]" caption="Sum of Value" measure="1" displayFolder="" measureGroup="Sheet1" count="0">
      <extLst>
        <ext xmlns:x15="http://schemas.microsoft.com/office/spreadsheetml/2010/11/main" uri="{B97F6D7D-B522-45F9-BDA1-12C45D357490}">
          <x15:cacheHierarchy aggregatedColumn="5"/>
        </ext>
      </extLst>
    </cacheHierarchy>
    <cacheHierarchy uniqueName="[Measures].[Category Hierarchy]" caption="Category Hierarchy" measure="1" displayFolder="" measureGroup="Sheet1" count="0"/>
    <cacheHierarchy uniqueName="[Measures].[Consumption ALL in Year]" caption="Consumption ALL in Year" measure="1" displayFolder="" measureGroup="Sheet1" count="0"/>
    <cacheHierarchy uniqueName="[Measures].[%share of consumption]" caption="%share of consumption" measure="1" displayFolder="" measureGroup="Sheet1" count="0" oneField="1">
      <fieldsUsage count="1">
        <fieldUsage x="3"/>
      </fieldsUsage>
    </cacheHierarchy>
    <cacheHierarchy uniqueName="[Measures].[AVG]" caption="AVG" measure="1" displayFolder="" measureGroup="Sheet1" count="0"/>
    <cacheHierarchy uniqueName="[Measures].[STDEV]" caption="STDEV" measure="1" displayFolder="" measureGroup="Sheet1" count="0"/>
    <cacheHierarchy uniqueName="[Measures].[MAX]" caption="MAX" measure="1" displayFolder="" measureGroup="Sheet1" count="0"/>
    <cacheHierarchy uniqueName="[Measures].[MIN]" caption="MIN" measure="1" displayFolder="" measureGroup="Sheet1" count="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Product_Hierarchy_Set]" caption="Product_Hierarchy_Set" set="1" parentSet="2" displayFolder="" count="0" unbalanced="0" unbalancedGroup="0">
      <fieldsUsage count="2">
        <fieldUsage x="0"/>
        <fieldUsage x="1"/>
      </fieldsUsage>
      <extLst>
        <ext xmlns:x14="http://schemas.microsoft.com/office/spreadsheetml/2009/9/main" uri="{8CF416AD-EC4C-4aba-99F5-12A058AE0983}">
          <x14:cacheHierarchy flattenHierarchies="0">
            <x14:setLevels count="2">
              <x14:setLevel hierarchy="2"/>
              <x14:setLevel hierarchy="2"/>
            </x14:setLevels>
          </x14:cacheHierarchy>
        </ext>
      </extLst>
    </cacheHierarchy>
  </cacheHierarchies>
  <kpis count="0"/>
  <calculatedMembers count="1">
    <calculatedMember name="[Product_Hierarchy_Set]" mdx="IIF([Measures].[Category Hierarchy] = 1, [Sheet1].[Hierarchy].[Meat] ,[Sheet1].[Hierarchy].[Category])" set="1">
      <extLst>
        <ext xmlns:x14="http://schemas.microsoft.com/office/spreadsheetml/2009/9/main" uri="{0C70D0D5-359C-4a49-802D-23BBF952B5CE}">
          <x14:calculatedMember flattenHierarchies="0" dynamicSet="1"/>
        </ext>
      </extLst>
    </calculatedMember>
  </calculatedMembers>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Patryk Krajewski" refreshedDate="44314.557822685187" backgroundQuery="1" createdVersion="6" refreshedVersion="6" minRefreshableVersion="3" recordCount="0" supportSubquery="1" supportAdvancedDrill="1" xr:uid="{A58B94A2-D0F1-48B2-AF28-BA1F568C866D}">
  <cacheSource type="external" connectionId="2"/>
  <cacheFields count="5">
    <cacheField name="[Measures].[AVG]" caption="AVG" numFmtId="0" hierarchy="10" level="32767"/>
    <cacheField name="[Measures].[STDEV]" caption="STDEV" numFmtId="0" hierarchy="11" level="32767"/>
    <cacheField name="[Measures].[MAX]" caption="MAX" numFmtId="0" hierarchy="12" level="32767"/>
    <cacheField name="[Measures].[MIN]" caption="MIN" numFmtId="0" hierarchy="13" level="32767"/>
    <cacheField name="[Sheet1].[Category].[Category]" caption="Category" numFmtId="0" hierarchy="3" level="1">
      <sharedItems containsSemiMixedTypes="0" containsNonDate="0" containsString="0"/>
    </cacheField>
  </cacheFields>
  <cacheHierarchies count="17">
    <cacheHierarchy uniqueName="[Sheet1].[Years]" caption="Years" attribute="1" defaultMemberUniqueName="[Sheet1].[Years].[All]" allUniqueName="[Sheet1].[Years].[All]" dimensionUniqueName="[Sheet1]" displayFolder="" count="0" memberValueDatatype="130" unbalanced="0"/>
    <cacheHierarchy uniqueName="[Sheet1].[Actual/Forecast]" caption="Actual/Forecast" attribute="1" defaultMemberUniqueName="[Sheet1].[Actual/Forecast].[All]" allUniqueName="[Sheet1].[Actual/Forecast].[All]" dimensionUniqueName="[Sheet1]" displayFolder="" count="0" memberValueDatatype="130" unbalanced="0"/>
    <cacheHierarchy uniqueName="[Sheet1].[Hierarchy]" caption="Hierarchy" defaultMemberUniqueName="[Sheet1].[Hierarchy].[All]" allUniqueName="[Sheet1].[Hierarchy].[All]" dimensionUniqueName="[Sheet1]" displayFolder="" count="0" unbalanced="0"/>
    <cacheHierarchy uniqueName="[Sheet1].[Category]" caption="Category" attribute="1" defaultMemberUniqueName="[Sheet1].[Category].[All]" allUniqueName="[Sheet1].[Category].[All]" dimensionUniqueName="[Sheet1]" displayFolder="" count="2" memberValueDatatype="130" unbalanced="0">
      <fieldsUsage count="2">
        <fieldUsage x="-1"/>
        <fieldUsage x="4"/>
      </fieldsUsage>
    </cacheHierarchy>
    <cacheHierarchy uniqueName="[Sheet1].[Meat]" caption="Meat" attribute="1" defaultMemberUniqueName="[Sheet1].[Meat].[All]" allUniqueName="[Sheet1].[Meat].[All]" dimensionUniqueName="[Sheet1]" displayFolder="" count="0" memberValueDatatype="130" unbalanced="0"/>
    <cacheHierarchy uniqueName="[Sheet1].[Value]" caption="Value" attribute="1" defaultMemberUniqueName="[Sheet1].[Value].[All]" allUniqueName="[Sheet1].[Value].[All]" dimensionUniqueName="[Sheet1]" displayFolder="" count="0" memberValueDatatype="5" unbalanced="0"/>
    <cacheHierarchy uniqueName="[Measures].[Sum of Value]" caption="Sum of Value" measure="1" displayFolder="" measureGroup="Sheet1" count="0">
      <extLst>
        <ext xmlns:x15="http://schemas.microsoft.com/office/spreadsheetml/2010/11/main" uri="{B97F6D7D-B522-45F9-BDA1-12C45D357490}">
          <x15:cacheHierarchy aggregatedColumn="5"/>
        </ext>
      </extLst>
    </cacheHierarchy>
    <cacheHierarchy uniqueName="[Measures].[Category Hierarchy]" caption="Category Hierarchy" measure="1" displayFolder="" measureGroup="Sheet1" count="0"/>
    <cacheHierarchy uniqueName="[Measures].[Consumption ALL in Year]" caption="Consumption ALL in Year" measure="1" displayFolder="" measureGroup="Sheet1" count="0"/>
    <cacheHierarchy uniqueName="[Measures].[%share of consumption]" caption="%share of consumption" measure="1" displayFolder="" measureGroup="Sheet1" count="0"/>
    <cacheHierarchy uniqueName="[Measures].[AVG]" caption="AVG" measure="1" displayFolder="" measureGroup="Sheet1" count="0" oneField="1">
      <fieldsUsage count="1">
        <fieldUsage x="0"/>
      </fieldsUsage>
    </cacheHierarchy>
    <cacheHierarchy uniqueName="[Measures].[STDEV]" caption="STDEV" measure="1" displayFolder="" measureGroup="Sheet1" count="0" oneField="1">
      <fieldsUsage count="1">
        <fieldUsage x="1"/>
      </fieldsUsage>
    </cacheHierarchy>
    <cacheHierarchy uniqueName="[Measures].[MAX]" caption="MAX" measure="1" displayFolder="" measureGroup="Sheet1" count="0" oneField="1">
      <fieldsUsage count="1">
        <fieldUsage x="2"/>
      </fieldsUsage>
    </cacheHierarchy>
    <cacheHierarchy uniqueName="[Measures].[MIN]" caption="MIN" measure="1" displayFolder="" measureGroup="Sheet1" count="0" oneField="1">
      <fieldsUsage count="1">
        <fieldUsage x="3"/>
      </fieldsUsage>
    </cacheHierarchy>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Product_Hierarchy_Set]" caption="Product_Hierarchy_Set" set="1" parentSet="2" displayFolder="" count="0" unbalanced="0" unbalancedGroup="0">
      <extLst>
        <ext xmlns:x14="http://schemas.microsoft.com/office/spreadsheetml/2009/9/main" uri="{8CF416AD-EC4C-4aba-99F5-12A058AE0983}">
          <x14:cacheHierarchy flattenHierarchies="0"/>
        </ext>
      </extLst>
    </cacheHierarchy>
  </cacheHierarchies>
  <kpis count="0"/>
  <calculatedMembers count="1">
    <calculatedMember name="[Product_Hierarchy_Set]" mdx="IIF([Measures].[Category Hierarchy] = 1, [Sheet1].[Hierarchy].[Meat] ,[Sheet1].[Hierarchy].[Category])" set="1">
      <extLst>
        <ext xmlns:x14="http://schemas.microsoft.com/office/spreadsheetml/2009/9/main" uri="{0C70D0D5-359C-4a49-802D-23BBF952B5CE}">
          <x14:calculatedMember flattenHierarchies="0" dynamicSet="1"/>
        </ext>
      </extLst>
    </calculatedMember>
  </calculatedMembers>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Patryk Krajewski" refreshedDate="44314.557825578704" backgroundQuery="1" createdVersion="6" refreshedVersion="6" minRefreshableVersion="3" recordCount="0" supportSubquery="1" supportAdvancedDrill="1" xr:uid="{E6A451AA-713E-4550-8CEA-D7F15F3C1703}">
  <cacheSource type="external" connectionId="2"/>
  <cacheFields count="6">
    <cacheField name="[Product_Hierarchy_Set].[Sheet1].[Hierarchy].[Category]" caption="Category" numFmtId="0" hierarchy="16">
      <sharedItems count="3">
        <s v="Fishes"/>
        <s v="Poultry"/>
        <s v="Red Meat"/>
      </sharedItems>
      <extLst>
        <ext xmlns:x15="http://schemas.microsoft.com/office/spreadsheetml/2010/11/main" uri="{4F2E5C28-24EA-4eb8-9CBF-B6C8F9C3D259}">
          <x15:cachedUniqueNames>
            <x15:cachedUniqueName index="0" name="[Sheet1].[Hierarchy].[Category].&amp;[Fishes]"/>
            <x15:cachedUniqueName index="1" name="[Sheet1].[Hierarchy].[Category].&amp;[Poultry]"/>
            <x15:cachedUniqueName index="2" name="[Sheet1].[Hierarchy].[Category].&amp;[Red Meat]"/>
          </x15:cachedUniqueNames>
        </ext>
      </extLst>
    </cacheField>
    <cacheField name="[Product_Hierarchy_Set].[Sheet1].[Hierarchy].[Meat]" caption="Meat" numFmtId="0" hierarchy="16" level="1">
      <sharedItems containsNonDate="0" count="5">
        <s v="Beef"/>
        <s v="Pork"/>
        <s v="Broilers" u="1"/>
        <s v="Other Chicken" u="1"/>
        <s v="Turkey" u="1"/>
      </sharedItems>
      <extLst>
        <ext xmlns:x15="http://schemas.microsoft.com/office/spreadsheetml/2010/11/main" uri="{4F2E5C28-24EA-4eb8-9CBF-B6C8F9C3D259}">
          <x15:cachedUniqueNames>
            <x15:cachedUniqueName index="0" name="[Sheet1].[Hierarchy].[Meat].&amp;[Beef]"/>
            <x15:cachedUniqueName index="1" name="[Sheet1].[Hierarchy].[Meat].&amp;[Pork]"/>
            <x15:cachedUniqueName index="2" name="[Sheet1].[Hierarchy].[Meat].&amp;[Broilers]"/>
            <x15:cachedUniqueName index="3" name="[Sheet1].[Hierarchy].[Meat].&amp;[Other Chicken]"/>
            <x15:cachedUniqueName index="4" name="[Sheet1].[Hierarchy].[Meat].&amp;[Turkey]"/>
          </x15:cachedUniqueNames>
        </ext>
      </extLst>
    </cacheField>
    <cacheField name="[Measures].[Sum of Value]" caption="Sum of Value" numFmtId="0" hierarchy="6" level="32767"/>
    <cacheField name="[Sheet1].[Years].[Years]" caption="Years" numFmtId="0" level="1">
      <sharedItems count="53">
        <s v="1960"/>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haredItems>
    </cacheField>
    <cacheField name="[Sheet1].[Category].[Category]" caption="Category" numFmtId="0" hierarchy="3" level="1">
      <sharedItems containsSemiMixedTypes="0" containsNonDate="0" containsString="0"/>
    </cacheField>
    <cacheField name="[Sheet1].[Meat].[Meat]" caption="Meat" numFmtId="0" hierarchy="4" level="1">
      <sharedItems containsSemiMixedTypes="0" containsNonDate="0" containsString="0"/>
    </cacheField>
  </cacheFields>
  <cacheHierarchies count="17">
    <cacheHierarchy uniqueName="[Sheet1].[Years]" caption="Years" attribute="1" defaultMemberUniqueName="[Sheet1].[Years].[All]" allUniqueName="[Sheet1].[Years].[All]" dimensionUniqueName="[Sheet1]" displayFolder="" count="2" memberValueDatatype="130" unbalanced="0">
      <fieldsUsage count="2">
        <fieldUsage x="-1"/>
        <fieldUsage x="3"/>
      </fieldsUsage>
    </cacheHierarchy>
    <cacheHierarchy uniqueName="[Sheet1].[Actual/Forecast]" caption="Actual/Forecast" attribute="1" defaultMemberUniqueName="[Sheet1].[Actual/Forecast].[All]" allUniqueName="[Sheet1].[Actual/Forecast].[All]" dimensionUniqueName="[Sheet1]" displayFolder="" count="0" memberValueDatatype="130" unbalanced="0"/>
    <cacheHierarchy uniqueName="[Sheet1].[Hierarchy]" caption="Hierarchy" defaultMemberUniqueName="[Sheet1].[Hierarchy].[All]" allUniqueName="[Sheet1].[Hierarchy].[All]" dimensionUniqueName="[Sheet1]" displayFolder="" count="0" unbalanced="0"/>
    <cacheHierarchy uniqueName="[Sheet1].[Category]" caption="Category" attribute="1" defaultMemberUniqueName="[Sheet1].[Category].[All]" allUniqueName="[Sheet1].[Category].[All]" dimensionUniqueName="[Sheet1]" displayFolder="" count="2" memberValueDatatype="130" unbalanced="0">
      <fieldsUsage count="2">
        <fieldUsage x="-1"/>
        <fieldUsage x="4"/>
      </fieldsUsage>
    </cacheHierarchy>
    <cacheHierarchy uniqueName="[Sheet1].[Meat]" caption="Meat" attribute="1" defaultMemberUniqueName="[Sheet1].[Meat].[All]" allUniqueName="[Sheet1].[Meat].[All]" dimensionUniqueName="[Sheet1]" displayFolder="" count="2" memberValueDatatype="130" unbalanced="0">
      <fieldsUsage count="2">
        <fieldUsage x="-1"/>
        <fieldUsage x="5"/>
      </fieldsUsage>
    </cacheHierarchy>
    <cacheHierarchy uniqueName="[Sheet1].[Value]" caption="Value" attribute="1" defaultMemberUniqueName="[Sheet1].[Value].[All]" allUniqueName="[Sheet1].[Value].[All]" dimensionUniqueName="[Sheet1]" displayFolder="" count="0" memberValueDatatype="5" unbalanced="0"/>
    <cacheHierarchy uniqueName="[Measures].[Sum of Value]" caption="Sum of Value" measure="1" displayFolder="" measureGroup="Sheet1" count="0" oneField="1">
      <fieldsUsage count="1">
        <fieldUsage x="2"/>
      </fieldsUsage>
      <extLst>
        <ext xmlns:x15="http://schemas.microsoft.com/office/spreadsheetml/2010/11/main" uri="{B97F6D7D-B522-45F9-BDA1-12C45D357490}">
          <x15:cacheHierarchy aggregatedColumn="5"/>
        </ext>
      </extLst>
    </cacheHierarchy>
    <cacheHierarchy uniqueName="[Measures].[Category Hierarchy]" caption="Category Hierarchy" measure="1" displayFolder="" measureGroup="Sheet1" count="0"/>
    <cacheHierarchy uniqueName="[Measures].[Consumption ALL in Year]" caption="Consumption ALL in Year" measure="1" displayFolder="" measureGroup="Sheet1" count="0"/>
    <cacheHierarchy uniqueName="[Measures].[%share of consumption]" caption="%share of consumption" measure="1" displayFolder="" measureGroup="Sheet1" count="0"/>
    <cacheHierarchy uniqueName="[Measures].[AVG]" caption="AVG" measure="1" displayFolder="" measureGroup="Sheet1" count="0"/>
    <cacheHierarchy uniqueName="[Measures].[STDEV]" caption="STDEV" measure="1" displayFolder="" measureGroup="Sheet1" count="0"/>
    <cacheHierarchy uniqueName="[Measures].[MAX]" caption="MAX" measure="1" displayFolder="" measureGroup="Sheet1" count="0"/>
    <cacheHierarchy uniqueName="[Measures].[MIN]" caption="MIN" measure="1" displayFolder="" measureGroup="Sheet1" count="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Product_Hierarchy_Set]" caption="Product_Hierarchy_Set" set="1" parentSet="2" displayFolder="" count="0" unbalanced="0" unbalancedGroup="0">
      <fieldsUsage count="2">
        <fieldUsage x="0"/>
        <fieldUsage x="1"/>
      </fieldsUsage>
      <extLst>
        <ext xmlns:x14="http://schemas.microsoft.com/office/spreadsheetml/2009/9/main" uri="{8CF416AD-EC4C-4aba-99F5-12A058AE0983}">
          <x14:cacheHierarchy flattenHierarchies="0">
            <x14:setLevels count="2">
              <x14:setLevel hierarchy="2"/>
              <x14:setLevel hierarchy="2"/>
            </x14:setLevels>
          </x14:cacheHierarchy>
        </ext>
      </extLst>
    </cacheHierarchy>
  </cacheHierarchies>
  <kpis count="0"/>
  <calculatedMembers count="1">
    <calculatedMember name="[Product_Hierarchy_Set]" mdx="IIF([Measures].[Category Hierarchy] = 1, [Sheet1].[Hierarchy].[Meat] ,[Sheet1].[Hierarchy].[Category])" set="1">
      <extLst>
        <ext xmlns:x14="http://schemas.microsoft.com/office/spreadsheetml/2009/9/main" uri="{0C70D0D5-359C-4a49-802D-23BBF952B5CE}">
          <x14:calculatedMember flattenHierarchies="0" dynamicSet="1"/>
        </ext>
      </extLst>
    </calculatedMember>
  </calculatedMembers>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tryk Krajewski" refreshedDate="44314.557812962965" backgroundQuery="1" createdVersion="3" refreshedVersion="6" minRefreshableVersion="3" recordCount="0" supportSubquery="1" supportAdvancedDrill="1" xr:uid="{F6B8CA3C-ED06-4293-BBE7-22436B95992F}">
  <cacheSource type="external" connectionId="2">
    <extLst>
      <ext xmlns:x14="http://schemas.microsoft.com/office/spreadsheetml/2009/9/main" uri="{F057638F-6D5F-4e77-A914-E7F072B9BCA8}">
        <x14:sourceConnection name="ThisWorkbookDataModel"/>
      </ext>
    </extLst>
  </cacheSource>
  <cacheFields count="0"/>
  <cacheHierarchies count="17">
    <cacheHierarchy uniqueName="[Sheet1].[Years]" caption="Years" attribute="1" defaultMemberUniqueName="[Sheet1].[Years].[All]" allUniqueName="[Sheet1].[Years].[All]" dimensionUniqueName="[Sheet1]" displayFolder="" count="0" memberValueDatatype="130" unbalanced="0"/>
    <cacheHierarchy uniqueName="[Sheet1].[Actual/Forecast]" caption="Actual/Forecast" attribute="1" defaultMemberUniqueName="[Sheet1].[Actual/Forecast].[All]" allUniqueName="[Sheet1].[Actual/Forecast].[All]" dimensionUniqueName="[Sheet1]" displayFolder="" count="0" memberValueDatatype="130" unbalanced="0"/>
    <cacheHierarchy uniqueName="[Sheet1].[Hierarchy]" caption="Hierarchy" defaultMemberUniqueName="[Sheet1].[Hierarchy].[All]" allUniqueName="[Sheet1].[Hierarchy].[All]" dimensionUniqueName="[Sheet1]" displayFolder="" count="0" unbalanced="0"/>
    <cacheHierarchy uniqueName="[Sheet1].[Category]" caption="Category" attribute="1" defaultMemberUniqueName="[Sheet1].[Category].[All]" allUniqueName="[Sheet1].[Category].[All]" dimensionUniqueName="[Sheet1]" displayFolder="" count="2" memberValueDatatype="130" unbalanced="0"/>
    <cacheHierarchy uniqueName="[Sheet1].[Meat]" caption="Meat" attribute="1" defaultMemberUniqueName="[Sheet1].[Meat].[All]" allUniqueName="[Sheet1].[Meat].[All]" dimensionUniqueName="[Sheet1]" displayFolder="" count="2" memberValueDatatype="130" unbalanced="0"/>
    <cacheHierarchy uniqueName="[Sheet1].[Value]" caption="Value" attribute="1" defaultMemberUniqueName="[Sheet1].[Value].[All]" allUniqueName="[Sheet1].[Value].[All]" dimensionUniqueName="[Sheet1]" displayFolder="" count="0" memberValueDatatype="5" unbalanced="0"/>
    <cacheHierarchy uniqueName="[Measures].[Sum of Value]" caption="Sum of Value" measure="1" displayFolder="" measureGroup="Sheet1" count="0">
      <extLst>
        <ext xmlns:x15="http://schemas.microsoft.com/office/spreadsheetml/2010/11/main" uri="{B97F6D7D-B522-45F9-BDA1-12C45D357490}">
          <x15:cacheHierarchy aggregatedColumn="5"/>
        </ext>
      </extLst>
    </cacheHierarchy>
    <cacheHierarchy uniqueName="[Measures].[Category Hierarchy]" caption="Category Hierarchy" measure="1" displayFolder="" measureGroup="Sheet1" count="0"/>
    <cacheHierarchy uniqueName="[Measures].[Consumption ALL in Year]" caption="Consumption ALL in Year" measure="1" displayFolder="" measureGroup="Sheet1" count="0"/>
    <cacheHierarchy uniqueName="[Measures].[%share of consumption]" caption="%share of consumption" measure="1" displayFolder="" measureGroup="Sheet1" count="0"/>
    <cacheHierarchy uniqueName="[Measures].[AVG]" caption="AVG" measure="1" displayFolder="" measureGroup="Sheet1" count="0"/>
    <cacheHierarchy uniqueName="[Measures].[STDEV]" caption="STDEV" measure="1" displayFolder="" measureGroup="Sheet1" count="0"/>
    <cacheHierarchy uniqueName="[Measures].[MAX]" caption="MAX" measure="1" displayFolder="" measureGroup="Sheet1" count="0"/>
    <cacheHierarchy uniqueName="[Measures].[MIN]" caption="MIN" measure="1" displayFolder="" measureGroup="Sheet1" count="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Product_Hierarchy_Set]" caption="Product_Hierarchy_Set" set="1" displayFolder="" count="0" unbalanced="0" unbalancedGroup="0">
      <extLst>
        <ext xmlns:x14="http://schemas.microsoft.com/office/spreadsheetml/2009/9/main" uri="{8CF416AD-EC4C-4aba-99F5-12A058AE0983}">
          <x14:cacheHierarchy flattenHierarchies="0"/>
        </ext>
      </extLst>
    </cacheHierarchy>
  </cacheHierarchies>
  <kpis count="0"/>
  <calculatedMembers count="1">
    <calculatedMember name="[Product_Hierarchy_Set]" mdx="IIF([Measures].[Category Hierarchy] = 1, [Sheet1].[Hierarchy].[Meat] ,[Sheet1].[Hierarchy].[Category])" set="1">
      <extLst>
        <ext xmlns:x14="http://schemas.microsoft.com/office/spreadsheetml/2009/9/main" uri="{0C70D0D5-359C-4a49-802D-23BBF952B5CE}">
          <x14:calculatedMember flattenHierarchies="0" dynamicSet="1"/>
        </ext>
      </extLst>
    </calculatedMember>
  </calculatedMembers>
  <extLst>
    <ext xmlns:x14="http://schemas.microsoft.com/office/spreadsheetml/2009/9/main" uri="{725AE2AE-9491-48be-B2B4-4EB974FC3084}">
      <x14:pivotCacheDefinition slicerData="1" pivotCacheId="146165694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BE4BED-F32A-475C-BCE7-219421D16236}" name="PivotTable3" cacheId="13" applyNumberFormats="0" applyBorderFormats="0" applyFontFormats="0" applyPatternFormats="0" applyAlignmentFormats="0" applyWidthHeightFormats="1" dataCaption="Values" tag="30bb5852-b618-4b79-a452-1b2104d58cb7" updatedVersion="6" minRefreshableVersion="3" subtotalHiddenItems="1" rowGrandTotals="0" colGrandTotals="0" itemPrintTitles="1" createdVersion="6" indent="0" compact="0" compactData="0" multipleFieldFilters="0" chartFormat="3">
  <location ref="A3:D57" firstHeaderRow="1" firstDataRow="2" firstDataCol="1"/>
  <pivotFields count="6">
    <pivotField axis="axisCol" compact="0" allDrilled="1" outline="0" subtotalTop="0" showAll="0" dataSourceSort="1" defaultSubtotal="0">
      <items count="3">
        <item c="1" x="0"/>
        <item c="1" x="1"/>
        <item c="1" x="2"/>
      </items>
      <extLst>
        <ext xmlns:x14="http://schemas.microsoft.com/office/spreadsheetml/2009/9/main" uri="{2946ED86-A175-432a-8AC1-64E0C546D7DE}">
          <x14:pivotField fillDownLabels="1"/>
        </ext>
      </extLst>
    </pivotField>
    <pivotField axis="axisCol" compact="0" outline="0" subtotalTop="0" showAll="0" dataSourceSort="1" defaultSubtotal="0">
      <items count="5">
        <item x="0"/>
        <item x="1"/>
        <item x="2"/>
        <item x="3"/>
        <item x="4"/>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3"/>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1">
    <field x="0"/>
  </colFields>
  <colItems count="3">
    <i>
      <x/>
    </i>
    <i>
      <x v="1"/>
    </i>
    <i>
      <x v="2"/>
    </i>
  </colItems>
  <dataFields count="1">
    <dataField name="Sum of Value" fld="2" baseField="0" baseItem="0"/>
  </dataFields>
  <chartFormats count="12">
    <chartFormat chart="2" format="58" series="1">
      <pivotArea type="data" outline="0" fieldPosition="0">
        <references count="1">
          <reference field="0" count="1" selected="0">
            <x v="0"/>
          </reference>
        </references>
      </pivotArea>
    </chartFormat>
    <chartFormat chart="2" format="59" series="1">
      <pivotArea type="data" outline="0" fieldPosition="0">
        <references count="1">
          <reference field="0" count="1" selected="0">
            <x v="1"/>
          </reference>
        </references>
      </pivotArea>
    </chartFormat>
    <chartFormat chart="2" format="60" series="1">
      <pivotArea type="data" outline="0" fieldPosition="0">
        <references count="1">
          <reference field="0" count="1" selected="0">
            <x v="2"/>
          </reference>
        </references>
      </pivotArea>
    </chartFormat>
    <chartFormat chart="2" format="61" series="1">
      <pivotArea type="data" outline="0" fieldPosition="0">
        <references count="2">
          <reference field="4294967294" count="1" selected="0">
            <x v="0"/>
          </reference>
          <reference field="0" count="1" selected="0">
            <x v="0"/>
          </reference>
        </references>
      </pivotArea>
    </chartFormat>
    <chartFormat chart="2" format="62" series="1">
      <pivotArea type="data" outline="0" fieldPosition="0">
        <references count="2">
          <reference field="4294967294" count="1" selected="0">
            <x v="0"/>
          </reference>
          <reference field="0" count="1" selected="0">
            <x v="1"/>
          </reference>
        </references>
      </pivotArea>
    </chartFormat>
    <chartFormat chart="2" format="63" series="1">
      <pivotArea type="data" outline="0" fieldPosition="0">
        <references count="2">
          <reference field="4294967294" count="1" selected="0">
            <x v="0"/>
          </reference>
          <reference field="0" count="1" selected="0">
            <x v="2"/>
          </reference>
        </references>
      </pivotArea>
    </chartFormat>
    <chartFormat chart="2" format="64" series="1">
      <pivotArea type="data" outline="0" fieldPosition="0">
        <references count="2">
          <reference field="4294967294" count="1" selected="0">
            <x v="0"/>
          </reference>
          <reference field="1" count="1" selected="0">
            <x v="2"/>
          </reference>
        </references>
      </pivotArea>
    </chartFormat>
    <chartFormat chart="2" format="65" series="1">
      <pivotArea type="data" outline="0" fieldPosition="0">
        <references count="2">
          <reference field="4294967294" count="1" selected="0">
            <x v="0"/>
          </reference>
          <reference field="1" count="1" selected="0">
            <x v="3"/>
          </reference>
        </references>
      </pivotArea>
    </chartFormat>
    <chartFormat chart="2" format="66" series="1">
      <pivotArea type="data" outline="0" fieldPosition="0">
        <references count="2">
          <reference field="4294967294" count="1" selected="0">
            <x v="0"/>
          </reference>
          <reference field="1" count="1" selected="0">
            <x v="4"/>
          </reference>
        </references>
      </pivotArea>
    </chartFormat>
    <chartFormat chart="2" format="67" series="1">
      <pivotArea type="data" outline="0" fieldPosition="0">
        <references count="2">
          <reference field="4294967294" count="1" selected="0">
            <x v="0"/>
          </reference>
          <reference field="1" count="1" selected="0">
            <x v="0"/>
          </reference>
        </references>
      </pivotArea>
    </chartFormat>
    <chartFormat chart="2" format="68" series="1">
      <pivotArea type="data" outline="0" fieldPosition="0">
        <references count="2">
          <reference field="4294967294" count="1" selected="0">
            <x v="0"/>
          </reference>
          <reference field="1" count="1" selected="0">
            <x v="1"/>
          </reference>
        </references>
      </pivotArea>
    </chartFormat>
    <chartFormat chart="2" format="69" series="1">
      <pivotArea type="data" outline="0" fieldPosition="0">
        <references count="1">
          <reference field="4294967294" count="1" selected="0">
            <x v="0"/>
          </reference>
        </references>
      </pivotArea>
    </chartFormat>
  </chartFormats>
  <pivotHierarchies count="17">
    <pivotHierarchy dragToData="1"/>
    <pivotHierarchy dragToData="1"/>
    <pivotHierarchy/>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6F6D6B-69F0-4EBC-904B-E230776CF6C9}" name="PivotTable2" cacheId="10" applyNumberFormats="0" applyBorderFormats="0" applyFontFormats="0" applyPatternFormats="0" applyAlignmentFormats="0" applyWidthHeightFormats="1" dataCaption="Values" tag="30bb5852-b618-4b79-a452-1b2104d58cb7" updatedVersion="6" minRefreshableVersion="3" subtotalHiddenItems="1" rowGrandTotals="0" colGrandTotals="0" itemPrintTitles="1" createdVersion="6" indent="0" compact="0" compactData="0" multipleFieldFilters="0" chartFormat="6">
  <location ref="L3:O4" firstHeaderRow="0" firstDataRow="1" firstDataCol="0"/>
  <pivotFields count="5">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pivotHierarchies count="17">
    <pivotHierarchy dragToData="1"/>
    <pivotHierarchy dragToData="1"/>
    <pivotHierarchy/>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E419B2-1B05-4954-8A74-C9C188F90B90}" name="PivotTable1" cacheId="7" applyNumberFormats="0" applyBorderFormats="0" applyFontFormats="0" applyPatternFormats="0" applyAlignmentFormats="0" applyWidthHeightFormats="1" dataCaption="Values" tag="30bb5852-b618-4b79-a452-1b2104d58cb7" updatedVersion="6" minRefreshableVersion="3" subtotalHiddenItems="1" rowGrandTotals="0" colGrandTotals="0" itemPrintTitles="1" createdVersion="6" indent="0" compact="0" compactData="0" multipleFieldFilters="0" chartFormat="6">
  <location ref="G3:J57" firstHeaderRow="1" firstDataRow="2" firstDataCol="1"/>
  <pivotFields count="6">
    <pivotField axis="axisCol" compact="0" allDrilled="1" outline="0" subtotalTop="0" showAll="0" dataSourceSort="1" defaultSubtotal="0">
      <items count="3">
        <item c="1" x="0"/>
        <item c="1" x="1"/>
        <item c="1" x="2"/>
      </items>
      <extLst>
        <ext xmlns:x14="http://schemas.microsoft.com/office/spreadsheetml/2009/9/main" uri="{2946ED86-A175-432a-8AC1-64E0C546D7DE}">
          <x14:pivotField fillDownLabels="1"/>
        </ext>
      </extLst>
    </pivotField>
    <pivotField axis="axisCol" compact="0" outline="0" subtotalTop="0" showAll="0" dataSourceSort="1" defaultSubtotal="0">
      <items count="5">
        <item x="0"/>
        <item x="1"/>
        <item x="2"/>
        <item x="3"/>
        <item x="4"/>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1">
    <field x="0"/>
  </colFields>
  <colItems count="3">
    <i>
      <x/>
    </i>
    <i>
      <x v="1"/>
    </i>
    <i>
      <x v="2"/>
    </i>
  </colItems>
  <dataFields count="1">
    <dataField fld="3" subtotal="count" baseField="2" baseItem="2" numFmtId="164"/>
  </dataFields>
  <chartFormats count="12">
    <chartFormat chart="2" format="58" series="1">
      <pivotArea type="data" outline="0" fieldPosition="0">
        <references count="1">
          <reference field="0" count="1" selected="0">
            <x v="0"/>
          </reference>
        </references>
      </pivotArea>
    </chartFormat>
    <chartFormat chart="2" format="59" series="1">
      <pivotArea type="data" outline="0" fieldPosition="0">
        <references count="1">
          <reference field="0" count="1" selected="0">
            <x v="1"/>
          </reference>
        </references>
      </pivotArea>
    </chartFormat>
    <chartFormat chart="2" format="60" series="1">
      <pivotArea type="data" outline="0" fieldPosition="0">
        <references count="1">
          <reference field="0" count="1" selected="0">
            <x v="2"/>
          </reference>
        </references>
      </pivotArea>
    </chartFormat>
    <chartFormat chart="5" format="6" series="1">
      <pivotArea type="data" outline="0" fieldPosition="0">
        <references count="2">
          <reference field="4294967294" count="1" selected="0">
            <x v="0"/>
          </reference>
          <reference field="0" count="1" selected="0">
            <x v="0"/>
          </reference>
        </references>
      </pivotArea>
    </chartFormat>
    <chartFormat chart="5" format="7" series="1">
      <pivotArea type="data" outline="0" fieldPosition="0">
        <references count="2">
          <reference field="4294967294" count="1" selected="0">
            <x v="0"/>
          </reference>
          <reference field="0" count="1" selected="0">
            <x v="1"/>
          </reference>
        </references>
      </pivotArea>
    </chartFormat>
    <chartFormat chart="5" format="8" series="1">
      <pivotArea type="data" outline="0" fieldPosition="0">
        <references count="2">
          <reference field="4294967294" count="1" selected="0">
            <x v="0"/>
          </reference>
          <reference field="0" count="1" selected="0">
            <x v="2"/>
          </reference>
        </references>
      </pivotArea>
    </chartFormat>
    <chartFormat chart="5" format="9" series="1">
      <pivotArea type="data" outline="0" fieldPosition="0">
        <references count="2">
          <reference field="4294967294" count="1" selected="0">
            <x v="0"/>
          </reference>
          <reference field="1" count="1" selected="0">
            <x v="2"/>
          </reference>
        </references>
      </pivotArea>
    </chartFormat>
    <chartFormat chart="5" format="10" series="1">
      <pivotArea type="data" outline="0" fieldPosition="0">
        <references count="2">
          <reference field="4294967294" count="1" selected="0">
            <x v="0"/>
          </reference>
          <reference field="1" count="1" selected="0">
            <x v="3"/>
          </reference>
        </references>
      </pivotArea>
    </chartFormat>
    <chartFormat chart="5" format="11" series="1">
      <pivotArea type="data" outline="0" fieldPosition="0">
        <references count="2">
          <reference field="4294967294" count="1" selected="0">
            <x v="0"/>
          </reference>
          <reference field="1" count="1" selected="0">
            <x v="4"/>
          </reference>
        </references>
      </pivotArea>
    </chartFormat>
    <chartFormat chart="5" format="12" series="1">
      <pivotArea type="data" outline="0" fieldPosition="0">
        <references count="2">
          <reference field="4294967294" count="1" selected="0">
            <x v="0"/>
          </reference>
          <reference field="1" count="1" selected="0">
            <x v="0"/>
          </reference>
        </references>
      </pivotArea>
    </chartFormat>
    <chartFormat chart="5" format="13" series="1">
      <pivotArea type="data" outline="0" fieldPosition="0">
        <references count="2">
          <reference field="4294967294" count="1" selected="0">
            <x v="0"/>
          </reference>
          <reference field="1" count="1" selected="0">
            <x v="1"/>
          </reference>
        </references>
      </pivotArea>
    </chartFormat>
    <chartFormat chart="5" format="14" series="1">
      <pivotArea type="data" outline="0" fieldPosition="0">
        <references count="1">
          <reference field="4294967294" count="1" selected="0">
            <x v="0"/>
          </reference>
        </references>
      </pivotArea>
    </chartFormat>
  </chartFormats>
  <pivotHierarchies count="17">
    <pivotHierarchy dragToData="1"/>
    <pivotHierarchy dragToData="1"/>
    <pivotHierarchy/>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87C3302-F379-4A55-821B-E56AB351D72A}" sourceName="[Sheet1].[Category]">
  <pivotTables>
    <pivotTable tabId="2" name="PivotTable3"/>
    <pivotTable tabId="2" name="PivotTable1"/>
    <pivotTable tabId="2" name="PivotTable2"/>
  </pivotTables>
  <data>
    <olap pivotCacheId="1461656943">
      <levels count="2">
        <level uniqueName="[Sheet1].[Category].[(All)]" sourceCaption="(All)" count="0"/>
        <level uniqueName="[Sheet1].[Category].[Category]" sourceCaption="Category" count="3">
          <ranges>
            <range startItem="0">
              <i n="[Sheet1].[Category].&amp;[Fishes]" c="Fishes"/>
              <i n="[Sheet1].[Category].&amp;[Poultry]" c="Poultry"/>
              <i n="[Sheet1].[Category].&amp;[Red Meat]" c="Red Meat"/>
            </range>
          </ranges>
        </level>
      </levels>
      <selections count="1">
        <selection n="[Sheet1].[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at" xr10:uid="{0A211B2B-2FEB-46B1-85BA-A96B3FFB2FFA}" sourceName="[Sheet1].[Meat]">
  <pivotTables>
    <pivotTable tabId="2" name="PivotTable1"/>
    <pivotTable tabId="2" name="PivotTable3"/>
  </pivotTables>
  <data>
    <olap pivotCacheId="1461656943">
      <levels count="2">
        <level uniqueName="[Sheet1].[Meat].[(All)]" sourceCaption="(All)" count="0"/>
        <level uniqueName="[Sheet1].[Meat].[Meat]" sourceCaption="Meat" count="6">
          <ranges>
            <range startItem="0">
              <i n="[Sheet1].[Meat].&amp;[Beef]" c="Beef"/>
              <i n="[Sheet1].[Meat].&amp;[Broilers]" c="Broilers"/>
              <i n="[Sheet1].[Meat].&amp;[Commercial Fish &amp; Shell-Fish]" c="Commercial Fish &amp; Shell-Fish"/>
              <i n="[Sheet1].[Meat].&amp;[Other Chicken]" c="Other Chicken"/>
              <i n="[Sheet1].[Meat].&amp;[Pork]" c="Pork"/>
              <i n="[Sheet1].[Meat].&amp;[Turkey]" c="Turkey"/>
            </range>
          </ranges>
        </level>
      </levels>
      <selections count="1">
        <selection n="[Sheet1].[Mea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66AE99-9A19-4372-9420-FFC2EE527869}" cache="Slicer_Category" caption="Category" level="1" style="SlicerStyleDark5 2" rowHeight="234950"/>
  <slicer name="Meat" xr10:uid="{A98701B1-F7BB-45DD-A8AE-B85508CE3140}" cache="Slicer_Meat" caption="Meat" level="1" style="SlicerStyleDark5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41"/>
  <sheetViews>
    <sheetView showGridLines="0" tabSelected="1" zoomScale="90" zoomScaleNormal="90" workbookViewId="0"/>
  </sheetViews>
  <sheetFormatPr defaultColWidth="0" defaultRowHeight="14.4" zeroHeight="1" x14ac:dyDescent="0.3"/>
  <cols>
    <col min="1" max="1" width="8.88671875" customWidth="1"/>
    <col min="2" max="2" width="4.6640625" bestFit="1" customWidth="1"/>
    <col min="3" max="3" width="5.77734375" bestFit="1" customWidth="1"/>
    <col min="4" max="6" width="8.88671875" customWidth="1"/>
    <col min="7" max="7" width="12.21875" bestFit="1" customWidth="1"/>
    <col min="8" max="8" width="8" bestFit="1" customWidth="1"/>
    <col min="9" max="9" width="13" bestFit="1" customWidth="1"/>
    <col min="10" max="10" width="6.77734375" bestFit="1" customWidth="1"/>
    <col min="11" max="20" width="8.88671875" customWidth="1"/>
    <col min="21" max="21" width="13.6640625" customWidth="1"/>
    <col min="22" max="26" width="8.88671875" customWidth="1"/>
    <col min="27" max="16384" width="8.88671875" hidden="1"/>
  </cols>
  <sheetData>
    <row r="1" spans="2:22" x14ac:dyDescent="0.3"/>
    <row r="2" spans="2:22" ht="18" x14ac:dyDescent="0.35">
      <c r="D2" s="1" t="s">
        <v>0</v>
      </c>
      <c r="L2" s="1"/>
      <c r="M2" s="1"/>
      <c r="N2" s="1"/>
      <c r="O2" s="1"/>
      <c r="P2" s="1"/>
      <c r="Q2" s="1"/>
    </row>
    <row r="3" spans="2:22" x14ac:dyDescent="0.3"/>
    <row r="4" spans="2:22" x14ac:dyDescent="0.3"/>
    <row r="5" spans="2:22" x14ac:dyDescent="0.3"/>
    <row r="6" spans="2:22" x14ac:dyDescent="0.3"/>
    <row r="7" spans="2:22" ht="15.6" x14ac:dyDescent="0.3">
      <c r="B7" s="3" t="s">
        <v>1</v>
      </c>
    </row>
    <row r="8" spans="2:22" x14ac:dyDescent="0.3"/>
    <row r="9" spans="2:22" x14ac:dyDescent="0.3"/>
    <row r="10" spans="2:22" x14ac:dyDescent="0.3"/>
    <row r="11" spans="2:22" x14ac:dyDescent="0.3"/>
    <row r="12" spans="2:22" ht="15.6" x14ac:dyDescent="0.3">
      <c r="U12" s="3" t="s">
        <v>67</v>
      </c>
    </row>
    <row r="13" spans="2:22" x14ac:dyDescent="0.3">
      <c r="U13" t="s">
        <v>73</v>
      </c>
    </row>
    <row r="14" spans="2:22" x14ac:dyDescent="0.3"/>
    <row r="15" spans="2:22" x14ac:dyDescent="0.3">
      <c r="U15" s="7" t="s">
        <v>68</v>
      </c>
      <c r="V15" s="6">
        <f>Pivots!L4</f>
        <v>70.711392405063293</v>
      </c>
    </row>
    <row r="16" spans="2:22" x14ac:dyDescent="0.3">
      <c r="U16" s="7" t="s">
        <v>69</v>
      </c>
      <c r="V16" s="6">
        <f>Pivots!M4</f>
        <v>46.482400337108011</v>
      </c>
    </row>
    <row r="17" spans="2:22" ht="15.6" x14ac:dyDescent="0.3">
      <c r="B17" s="3" t="s">
        <v>2</v>
      </c>
      <c r="U17" s="7" t="s">
        <v>70</v>
      </c>
      <c r="V17" s="6">
        <f>Pivots!N4</f>
        <v>144.5</v>
      </c>
    </row>
    <row r="18" spans="2:22" x14ac:dyDescent="0.3">
      <c r="U18" s="7" t="s">
        <v>71</v>
      </c>
      <c r="V18" s="6">
        <f>Pivots!O4</f>
        <v>10.3</v>
      </c>
    </row>
    <row r="19" spans="2:22" x14ac:dyDescent="0.3">
      <c r="U19" s="7" t="s">
        <v>72</v>
      </c>
      <c r="V19" s="6">
        <f>V17-V18</f>
        <v>134.19999999999999</v>
      </c>
    </row>
    <row r="20" spans="2:22" x14ac:dyDescent="0.3"/>
    <row r="21" spans="2:22" x14ac:dyDescent="0.3"/>
    <row r="22" spans="2:22" x14ac:dyDescent="0.3"/>
    <row r="23" spans="2:22" x14ac:dyDescent="0.3"/>
    <row r="24" spans="2:22" x14ac:dyDescent="0.3"/>
    <row r="25" spans="2:22" x14ac:dyDescent="0.3"/>
    <row r="26" spans="2:22" x14ac:dyDescent="0.3"/>
    <row r="27" spans="2:22" x14ac:dyDescent="0.3"/>
    <row r="28" spans="2:22" x14ac:dyDescent="0.3"/>
    <row r="29" spans="2:22" x14ac:dyDescent="0.3"/>
    <row r="30" spans="2:22" x14ac:dyDescent="0.3"/>
    <row r="31" spans="2:22" x14ac:dyDescent="0.3"/>
    <row r="32" spans="2:22" x14ac:dyDescent="0.3"/>
    <row r="33" x14ac:dyDescent="0.3"/>
    <row r="34" x14ac:dyDescent="0.3"/>
    <row r="35" x14ac:dyDescent="0.3"/>
    <row r="36" x14ac:dyDescent="0.3"/>
    <row r="37" x14ac:dyDescent="0.3"/>
    <row r="38" x14ac:dyDescent="0.3"/>
    <row r="39" x14ac:dyDescent="0.3"/>
    <row r="40" x14ac:dyDescent="0.3"/>
    <row r="41" x14ac:dyDescent="0.3"/>
  </sheetData>
  <sheetProtection selectLockedCells="1"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6EEC6-AEEE-468E-9D48-2570E7B60168}">
  <sheetPr codeName="Sheet2"/>
  <dimension ref="A3:O57"/>
  <sheetViews>
    <sheetView workbookViewId="0">
      <selection activeCell="M4" sqref="M4"/>
    </sheetView>
  </sheetViews>
  <sheetFormatPr defaultRowHeight="14.4" x14ac:dyDescent="0.3"/>
  <cols>
    <col min="1" max="1" width="12.33203125" bestFit="1" customWidth="1"/>
    <col min="2" max="4" width="23.21875" customWidth="1"/>
    <col min="8" max="8" width="12.5546875" customWidth="1"/>
    <col min="9" max="9" width="12.33203125" customWidth="1"/>
    <col min="10" max="10" width="14.33203125" customWidth="1"/>
    <col min="12" max="12" width="11" customWidth="1"/>
    <col min="13" max="13" width="8.5546875" customWidth="1"/>
  </cols>
  <sheetData>
    <row r="3" spans="1:15" x14ac:dyDescent="0.3">
      <c r="A3" s="2" t="s">
        <v>3</v>
      </c>
      <c r="B3" s="2" t="s">
        <v>7</v>
      </c>
      <c r="G3" s="2" t="s">
        <v>62</v>
      </c>
      <c r="H3" s="2" t="s">
        <v>7</v>
      </c>
      <c r="L3" t="s">
        <v>63</v>
      </c>
      <c r="M3" t="s">
        <v>64</v>
      </c>
      <c r="N3" t="s">
        <v>65</v>
      </c>
      <c r="O3" t="s">
        <v>66</v>
      </c>
    </row>
    <row r="4" spans="1:15" x14ac:dyDescent="0.3">
      <c r="A4" s="2" t="s">
        <v>8</v>
      </c>
      <c r="B4" t="s">
        <v>4</v>
      </c>
      <c r="C4" t="s">
        <v>5</v>
      </c>
      <c r="D4" t="s">
        <v>6</v>
      </c>
      <c r="G4" s="2" t="s">
        <v>8</v>
      </c>
      <c r="H4" t="s">
        <v>4</v>
      </c>
      <c r="I4" t="s">
        <v>5</v>
      </c>
      <c r="J4" t="s">
        <v>6</v>
      </c>
      <c r="L4" s="4">
        <v>70.711392405063293</v>
      </c>
      <c r="M4" s="4">
        <v>46.482400337108011</v>
      </c>
      <c r="N4" s="4">
        <v>144.5</v>
      </c>
      <c r="O4" s="4">
        <v>10.3</v>
      </c>
    </row>
    <row r="5" spans="1:15" x14ac:dyDescent="0.3">
      <c r="A5" t="s">
        <v>9</v>
      </c>
      <c r="B5" s="4">
        <v>10.3</v>
      </c>
      <c r="C5" s="4">
        <v>34.200000000000003</v>
      </c>
      <c r="D5" s="4">
        <v>122.4</v>
      </c>
      <c r="G5" t="s">
        <v>9</v>
      </c>
      <c r="H5" s="5">
        <v>6.1713600958657883E-2</v>
      </c>
      <c r="I5" s="5">
        <v>0.20491312162971839</v>
      </c>
      <c r="J5" s="5">
        <v>0.73337327741162373</v>
      </c>
    </row>
    <row r="6" spans="1:15" x14ac:dyDescent="0.3">
      <c r="A6" t="s">
        <v>10</v>
      </c>
      <c r="B6" s="4">
        <v>10.9</v>
      </c>
      <c r="C6" s="4">
        <v>44</v>
      </c>
      <c r="D6" s="4">
        <v>126.2</v>
      </c>
      <c r="G6" t="s">
        <v>10</v>
      </c>
      <c r="H6" s="5">
        <v>6.0187741579237994E-2</v>
      </c>
      <c r="I6" s="5">
        <v>0.24295969077857538</v>
      </c>
      <c r="J6" s="5">
        <v>0.69685256764218673</v>
      </c>
    </row>
    <row r="7" spans="1:15" x14ac:dyDescent="0.3">
      <c r="A7" t="s">
        <v>11</v>
      </c>
      <c r="B7" s="4">
        <v>10.9</v>
      </c>
      <c r="C7" s="4">
        <v>43.7</v>
      </c>
      <c r="D7" s="4">
        <v>128.4</v>
      </c>
      <c r="G7" t="s">
        <v>11</v>
      </c>
      <c r="H7" s="5">
        <v>5.9562841530054644E-2</v>
      </c>
      <c r="I7" s="5">
        <v>0.23879781420765028</v>
      </c>
      <c r="J7" s="5">
        <v>0.70163934426229513</v>
      </c>
    </row>
    <row r="8" spans="1:15" x14ac:dyDescent="0.3">
      <c r="A8" t="s">
        <v>12</v>
      </c>
      <c r="B8" s="4">
        <v>10.6</v>
      </c>
      <c r="C8" s="4">
        <v>45.3</v>
      </c>
      <c r="D8" s="4">
        <v>134.80000000000001</v>
      </c>
      <c r="G8" t="s">
        <v>12</v>
      </c>
      <c r="H8" s="5">
        <v>5.5584687991609857E-2</v>
      </c>
      <c r="I8" s="5">
        <v>0.23754588358678552</v>
      </c>
      <c r="J8" s="5">
        <v>0.70686942842160472</v>
      </c>
    </row>
    <row r="9" spans="1:15" x14ac:dyDescent="0.3">
      <c r="A9" t="s">
        <v>13</v>
      </c>
      <c r="B9" s="4">
        <v>11</v>
      </c>
      <c r="C9" s="4">
        <v>45</v>
      </c>
      <c r="D9" s="4">
        <v>138.19999999999999</v>
      </c>
      <c r="G9" t="s">
        <v>13</v>
      </c>
      <c r="H9" s="5">
        <v>5.6642636457260559E-2</v>
      </c>
      <c r="I9" s="5">
        <v>0.23171987641606592</v>
      </c>
      <c r="J9" s="5">
        <v>0.71163748712667352</v>
      </c>
    </row>
    <row r="10" spans="1:15" x14ac:dyDescent="0.3">
      <c r="A10" t="s">
        <v>14</v>
      </c>
      <c r="B10" s="4">
        <v>11.2</v>
      </c>
      <c r="C10" s="4">
        <v>46.8</v>
      </c>
      <c r="D10" s="4">
        <v>136.80000000000001</v>
      </c>
      <c r="G10" t="s">
        <v>14</v>
      </c>
      <c r="H10" s="5">
        <v>5.7494866529774119E-2</v>
      </c>
      <c r="I10" s="5">
        <v>0.24024640657084187</v>
      </c>
      <c r="J10" s="5">
        <v>0.70225872689938396</v>
      </c>
    </row>
    <row r="11" spans="1:15" x14ac:dyDescent="0.3">
      <c r="A11" t="s">
        <v>15</v>
      </c>
      <c r="B11" s="4">
        <v>11.7</v>
      </c>
      <c r="C11" s="4">
        <v>48.3</v>
      </c>
      <c r="D11" s="4">
        <v>139.80000000000001</v>
      </c>
      <c r="G11" t="s">
        <v>15</v>
      </c>
      <c r="H11" s="5">
        <v>5.855855855855855E-2</v>
      </c>
      <c r="I11" s="5">
        <v>0.24174174174174171</v>
      </c>
      <c r="J11" s="5">
        <v>0.6996996996996997</v>
      </c>
    </row>
    <row r="12" spans="1:15" x14ac:dyDescent="0.3">
      <c r="A12" t="s">
        <v>16</v>
      </c>
      <c r="B12" s="4">
        <v>11.5</v>
      </c>
      <c r="C12" s="4">
        <v>48.5</v>
      </c>
      <c r="D12" s="4">
        <v>144.5</v>
      </c>
      <c r="G12" t="s">
        <v>16</v>
      </c>
      <c r="H12" s="5">
        <v>5.623471882640587E-2</v>
      </c>
      <c r="I12" s="5">
        <v>0.23716381418092911</v>
      </c>
      <c r="J12" s="5">
        <v>0.70660146699266502</v>
      </c>
    </row>
    <row r="13" spans="1:15" x14ac:dyDescent="0.3">
      <c r="A13" t="s">
        <v>17</v>
      </c>
      <c r="B13" s="4">
        <v>12.5</v>
      </c>
      <c r="C13" s="4">
        <v>50.4</v>
      </c>
      <c r="D13" s="4">
        <v>140</v>
      </c>
      <c r="G13" t="s">
        <v>17</v>
      </c>
      <c r="H13" s="5">
        <v>6.1606702809265647E-2</v>
      </c>
      <c r="I13" s="5">
        <v>0.24839822572695908</v>
      </c>
      <c r="J13" s="5">
        <v>0.68999507146377526</v>
      </c>
    </row>
    <row r="14" spans="1:15" x14ac:dyDescent="0.3">
      <c r="A14" t="s">
        <v>18</v>
      </c>
      <c r="B14" s="4">
        <v>12.7</v>
      </c>
      <c r="C14" s="4">
        <v>48.2</v>
      </c>
      <c r="D14" s="4">
        <v>129.19999999999999</v>
      </c>
      <c r="G14" t="s">
        <v>18</v>
      </c>
      <c r="H14" s="5">
        <v>6.6806943713834818E-2</v>
      </c>
      <c r="I14" s="5">
        <v>0.253550762756444</v>
      </c>
      <c r="J14" s="5">
        <v>0.67964229352972116</v>
      </c>
    </row>
    <row r="15" spans="1:15" x14ac:dyDescent="0.3">
      <c r="A15" t="s">
        <v>19</v>
      </c>
      <c r="B15" s="4">
        <v>12.1</v>
      </c>
      <c r="C15" s="4">
        <v>48.4</v>
      </c>
      <c r="D15" s="4">
        <v>138.30000000000001</v>
      </c>
      <c r="G15" t="s">
        <v>19</v>
      </c>
      <c r="H15" s="5">
        <v>6.0865191146881284E-2</v>
      </c>
      <c r="I15" s="5">
        <v>0.24346076458752514</v>
      </c>
      <c r="J15" s="5">
        <v>0.69567404426559354</v>
      </c>
    </row>
    <row r="16" spans="1:15" x14ac:dyDescent="0.3">
      <c r="A16" t="s">
        <v>20</v>
      </c>
      <c r="B16" s="4">
        <v>12.1</v>
      </c>
      <c r="C16" s="4">
        <v>47</v>
      </c>
      <c r="D16" s="4">
        <v>131.1</v>
      </c>
      <c r="G16" t="s">
        <v>20</v>
      </c>
      <c r="H16" s="5">
        <v>6.361724500525763E-2</v>
      </c>
      <c r="I16" s="5">
        <v>0.24710830704521558</v>
      </c>
      <c r="J16" s="5">
        <v>0.68927444794952686</v>
      </c>
    </row>
    <row r="17" spans="1:10" x14ac:dyDescent="0.3">
      <c r="A17" t="s">
        <v>21</v>
      </c>
      <c r="B17" s="4">
        <v>12.9</v>
      </c>
      <c r="C17" s="4">
        <v>50.9</v>
      </c>
      <c r="D17" s="4">
        <v>139.19999999999999</v>
      </c>
      <c r="G17" t="s">
        <v>21</v>
      </c>
      <c r="H17" s="5">
        <v>6.354679802955665E-2</v>
      </c>
      <c r="I17" s="5">
        <v>0.25073891625615763</v>
      </c>
      <c r="J17" s="5">
        <v>0.68571428571428561</v>
      </c>
    </row>
    <row r="18" spans="1:10" x14ac:dyDescent="0.3">
      <c r="A18" t="s">
        <v>22</v>
      </c>
      <c r="B18" s="4">
        <v>12.6</v>
      </c>
      <c r="C18" s="4">
        <v>51.4</v>
      </c>
      <c r="D18" s="4">
        <v>138.19999999999999</v>
      </c>
      <c r="G18" t="s">
        <v>22</v>
      </c>
      <c r="H18" s="5">
        <v>6.2314540059347182E-2</v>
      </c>
      <c r="I18" s="5">
        <v>0.25420375865479722</v>
      </c>
      <c r="J18" s="5">
        <v>0.68348170128585561</v>
      </c>
    </row>
    <row r="19" spans="1:10" x14ac:dyDescent="0.3">
      <c r="A19" t="s">
        <v>23</v>
      </c>
      <c r="B19" s="4">
        <v>13.4</v>
      </c>
      <c r="C19" s="4">
        <v>53.5</v>
      </c>
      <c r="D19" s="4">
        <v>133.6</v>
      </c>
      <c r="G19" t="s">
        <v>23</v>
      </c>
      <c r="H19" s="5">
        <v>6.6832917705735656E-2</v>
      </c>
      <c r="I19" s="5">
        <v>0.26683291770573564</v>
      </c>
      <c r="J19" s="5">
        <v>0.66633416458852868</v>
      </c>
    </row>
    <row r="20" spans="1:10" x14ac:dyDescent="0.3">
      <c r="A20" t="s">
        <v>24</v>
      </c>
      <c r="B20" s="4">
        <v>13</v>
      </c>
      <c r="C20" s="4">
        <v>56.8</v>
      </c>
      <c r="D20" s="4">
        <v>131.1</v>
      </c>
      <c r="G20" t="s">
        <v>24</v>
      </c>
      <c r="H20" s="5">
        <v>6.4708810353409654E-2</v>
      </c>
      <c r="I20" s="5">
        <v>0.28272772523643602</v>
      </c>
      <c r="J20" s="5">
        <v>0.65256346441015423</v>
      </c>
    </row>
    <row r="21" spans="1:10" x14ac:dyDescent="0.3">
      <c r="A21" t="s">
        <v>25</v>
      </c>
      <c r="B21" s="4">
        <v>12.4</v>
      </c>
      <c r="C21" s="4">
        <v>57.5</v>
      </c>
      <c r="D21" s="4">
        <v>133.19999999999999</v>
      </c>
      <c r="G21" t="s">
        <v>25</v>
      </c>
      <c r="H21" s="5">
        <v>6.1053668143771542E-2</v>
      </c>
      <c r="I21" s="5">
        <v>0.28311176760216644</v>
      </c>
      <c r="J21" s="5">
        <v>0.65583456425406195</v>
      </c>
    </row>
    <row r="22" spans="1:10" x14ac:dyDescent="0.3">
      <c r="A22" t="s">
        <v>26</v>
      </c>
      <c r="B22" s="4">
        <v>12.6</v>
      </c>
      <c r="C22" s="4">
        <v>59.3</v>
      </c>
      <c r="D22" s="4">
        <v>131.4</v>
      </c>
      <c r="G22" t="s">
        <v>26</v>
      </c>
      <c r="H22" s="5">
        <v>6.1977373339891784E-2</v>
      </c>
      <c r="I22" s="5">
        <v>0.29168716182980814</v>
      </c>
      <c r="J22" s="5">
        <v>0.64633546483030002</v>
      </c>
    </row>
    <row r="23" spans="1:10" x14ac:dyDescent="0.3">
      <c r="A23" t="s">
        <v>27</v>
      </c>
      <c r="B23" s="4">
        <v>12.4</v>
      </c>
      <c r="C23" s="4">
        <v>59.6</v>
      </c>
      <c r="D23" s="4">
        <v>125.5</v>
      </c>
      <c r="G23" t="s">
        <v>27</v>
      </c>
      <c r="H23" s="5">
        <v>6.2784810126582283E-2</v>
      </c>
      <c r="I23" s="5">
        <v>0.30177215189873419</v>
      </c>
      <c r="J23" s="5">
        <v>0.63544303797468349</v>
      </c>
    </row>
    <row r="24" spans="1:10" x14ac:dyDescent="0.3">
      <c r="A24" t="s">
        <v>28</v>
      </c>
      <c r="B24" s="4">
        <v>13.3</v>
      </c>
      <c r="C24" s="4">
        <v>60</v>
      </c>
      <c r="D24" s="4">
        <v>129.80000000000001</v>
      </c>
      <c r="G24" t="s">
        <v>28</v>
      </c>
      <c r="H24" s="5">
        <v>6.5484982767109803E-2</v>
      </c>
      <c r="I24" s="5">
        <v>0.29542097488921715</v>
      </c>
      <c r="J24" s="5">
        <v>0.63909404234367317</v>
      </c>
    </row>
    <row r="25" spans="1:10" x14ac:dyDescent="0.3">
      <c r="A25" t="s">
        <v>29</v>
      </c>
      <c r="B25" s="4">
        <v>14.1</v>
      </c>
      <c r="C25" s="4">
        <v>61.9</v>
      </c>
      <c r="D25" s="4">
        <v>129.30000000000001</v>
      </c>
      <c r="G25" t="s">
        <v>29</v>
      </c>
      <c r="H25" s="5">
        <v>6.8679980516317574E-2</v>
      </c>
      <c r="I25" s="5">
        <v>0.30150998538723817</v>
      </c>
      <c r="J25" s="5">
        <v>0.6298100340964442</v>
      </c>
    </row>
    <row r="26" spans="1:10" x14ac:dyDescent="0.3">
      <c r="A26" t="s">
        <v>30</v>
      </c>
      <c r="B26" s="4">
        <v>15</v>
      </c>
      <c r="C26" s="4">
        <v>64.099999999999994</v>
      </c>
      <c r="D26" s="4">
        <v>130.5</v>
      </c>
      <c r="G26" t="s">
        <v>30</v>
      </c>
      <c r="H26" s="5">
        <v>7.1564885496183214E-2</v>
      </c>
      <c r="I26" s="5">
        <v>0.30582061068702288</v>
      </c>
      <c r="J26" s="5">
        <v>0.62261450381679395</v>
      </c>
    </row>
    <row r="27" spans="1:10" x14ac:dyDescent="0.3">
      <c r="A27" t="s">
        <v>31</v>
      </c>
      <c r="B27" s="4">
        <v>15.4</v>
      </c>
      <c r="C27" s="4">
        <v>66.099999999999994</v>
      </c>
      <c r="D27" s="4">
        <v>127.3</v>
      </c>
      <c r="G27" t="s">
        <v>31</v>
      </c>
      <c r="H27" s="5">
        <v>7.3754789272030649E-2</v>
      </c>
      <c r="I27" s="5">
        <v>0.31657088122605359</v>
      </c>
      <c r="J27" s="5">
        <v>0.60967432950191569</v>
      </c>
    </row>
    <row r="28" spans="1:10" x14ac:dyDescent="0.3">
      <c r="A28" t="s">
        <v>32</v>
      </c>
      <c r="B28" s="4">
        <v>16.100000000000001</v>
      </c>
      <c r="C28" s="4">
        <v>71.3</v>
      </c>
      <c r="D28" s="4">
        <v>122.5</v>
      </c>
      <c r="G28" t="s">
        <v>32</v>
      </c>
      <c r="H28" s="5">
        <v>7.6703191996188663E-2</v>
      </c>
      <c r="I28" s="5">
        <v>0.33968556455454979</v>
      </c>
      <c r="J28" s="5">
        <v>0.58361124344926152</v>
      </c>
    </row>
    <row r="29" spans="1:10" x14ac:dyDescent="0.3">
      <c r="A29" t="s">
        <v>33</v>
      </c>
      <c r="B29" s="4">
        <v>15.1</v>
      </c>
      <c r="C29" s="4">
        <v>72.400000000000006</v>
      </c>
      <c r="D29" s="4">
        <v>124.6</v>
      </c>
      <c r="G29" t="s">
        <v>33</v>
      </c>
      <c r="H29" s="5">
        <v>7.119283356907119E-2</v>
      </c>
      <c r="I29" s="5">
        <v>0.3413484205563414</v>
      </c>
      <c r="J29" s="5">
        <v>0.58745874587458746</v>
      </c>
    </row>
    <row r="30" spans="1:10" x14ac:dyDescent="0.3">
      <c r="A30" t="s">
        <v>34</v>
      </c>
      <c r="B30" s="4">
        <v>15.6</v>
      </c>
      <c r="C30" s="4">
        <v>74.400000000000006</v>
      </c>
      <c r="D30" s="4">
        <v>120.4</v>
      </c>
      <c r="G30" t="s">
        <v>34</v>
      </c>
      <c r="H30" s="5">
        <v>7.4144486692015205E-2</v>
      </c>
      <c r="I30" s="5">
        <v>0.35361216730038025</v>
      </c>
      <c r="J30" s="5">
        <v>0.57224334600760463</v>
      </c>
    </row>
    <row r="31" spans="1:10" x14ac:dyDescent="0.3">
      <c r="A31" t="s">
        <v>35</v>
      </c>
      <c r="B31" s="4">
        <v>14.9</v>
      </c>
      <c r="C31" s="4">
        <v>78.2</v>
      </c>
      <c r="D31" s="4">
        <v>116.9</v>
      </c>
      <c r="G31" t="s">
        <v>35</v>
      </c>
      <c r="H31" s="5">
        <v>7.0952380952380947E-2</v>
      </c>
      <c r="I31" s="5">
        <v>0.37238095238095237</v>
      </c>
      <c r="J31" s="5">
        <v>0.55666666666666664</v>
      </c>
    </row>
    <row r="32" spans="1:10" x14ac:dyDescent="0.3">
      <c r="A32" t="s">
        <v>36</v>
      </c>
      <c r="B32" s="4">
        <v>14.8</v>
      </c>
      <c r="C32" s="4">
        <v>80.8</v>
      </c>
      <c r="D32" s="4">
        <v>116.2</v>
      </c>
      <c r="G32" t="s">
        <v>36</v>
      </c>
      <c r="H32" s="5">
        <v>6.9877242681775253E-2</v>
      </c>
      <c r="I32" s="5">
        <v>0.38149197355996217</v>
      </c>
      <c r="J32" s="5">
        <v>0.54863078375826246</v>
      </c>
    </row>
    <row r="33" spans="1:10" x14ac:dyDescent="0.3">
      <c r="A33" t="s">
        <v>37</v>
      </c>
      <c r="B33" s="4">
        <v>14.6</v>
      </c>
      <c r="C33" s="4">
        <v>84.3</v>
      </c>
      <c r="D33" s="4">
        <v>118.2</v>
      </c>
      <c r="G33" t="s">
        <v>37</v>
      </c>
      <c r="H33" s="5">
        <v>6.7250115154306775E-2</v>
      </c>
      <c r="I33" s="5">
        <v>0.38830032243205898</v>
      </c>
      <c r="J33" s="5">
        <v>0.54444956241363429</v>
      </c>
    </row>
    <row r="34" spans="1:10" x14ac:dyDescent="0.3">
      <c r="A34" t="s">
        <v>38</v>
      </c>
      <c r="B34" s="4">
        <v>14.8</v>
      </c>
      <c r="C34" s="4">
        <v>86.6</v>
      </c>
      <c r="D34" s="4">
        <v>116</v>
      </c>
      <c r="G34" t="s">
        <v>38</v>
      </c>
      <c r="H34" s="5">
        <v>6.8077276908923651E-2</v>
      </c>
      <c r="I34" s="5">
        <v>0.39834406623735047</v>
      </c>
      <c r="J34" s="5">
        <v>0.53357865685372585</v>
      </c>
    </row>
    <row r="35" spans="1:10" x14ac:dyDescent="0.3">
      <c r="A35" t="s">
        <v>39</v>
      </c>
      <c r="B35" s="4">
        <v>15</v>
      </c>
      <c r="C35" s="4">
        <v>87.2</v>
      </c>
      <c r="D35" s="4">
        <v>118.2</v>
      </c>
      <c r="G35" t="s">
        <v>39</v>
      </c>
      <c r="H35" s="5">
        <v>6.8058076225045366E-2</v>
      </c>
      <c r="I35" s="5">
        <v>0.39564428312159711</v>
      </c>
      <c r="J35" s="5">
        <v>0.5362976406533575</v>
      </c>
    </row>
    <row r="36" spans="1:10" x14ac:dyDescent="0.3">
      <c r="A36" t="s">
        <v>40</v>
      </c>
      <c r="B36" s="4">
        <v>14.8</v>
      </c>
      <c r="C36" s="4">
        <v>86.5</v>
      </c>
      <c r="D36" s="4">
        <v>117.9</v>
      </c>
      <c r="G36" t="s">
        <v>40</v>
      </c>
      <c r="H36" s="5">
        <v>6.7518248175182483E-2</v>
      </c>
      <c r="I36" s="5">
        <v>0.39461678832116792</v>
      </c>
      <c r="J36" s="5">
        <v>0.53786496350364965</v>
      </c>
    </row>
    <row r="37" spans="1:10" x14ac:dyDescent="0.3">
      <c r="A37" t="s">
        <v>41</v>
      </c>
      <c r="B37" s="4">
        <v>14.5</v>
      </c>
      <c r="C37" s="4">
        <v>87.8</v>
      </c>
      <c r="D37" s="4">
        <v>115.1</v>
      </c>
      <c r="G37" t="s">
        <v>41</v>
      </c>
      <c r="H37" s="5">
        <v>6.6697332106715732E-2</v>
      </c>
      <c r="I37" s="5">
        <v>0.40386384544618215</v>
      </c>
      <c r="J37" s="5">
        <v>0.52943882244710205</v>
      </c>
    </row>
    <row r="38" spans="1:10" x14ac:dyDescent="0.3">
      <c r="A38" t="s">
        <v>42</v>
      </c>
      <c r="B38" s="4">
        <v>14.3</v>
      </c>
      <c r="C38" s="4">
        <v>88.6</v>
      </c>
      <c r="D38" s="4">
        <v>113.1</v>
      </c>
      <c r="G38" t="s">
        <v>42</v>
      </c>
      <c r="H38" s="5">
        <v>6.6203703703703709E-2</v>
      </c>
      <c r="I38" s="5">
        <v>0.41018518518518515</v>
      </c>
      <c r="J38" s="5">
        <v>0.52361111111111114</v>
      </c>
    </row>
    <row r="39" spans="1:10" x14ac:dyDescent="0.3">
      <c r="A39" t="s">
        <v>43</v>
      </c>
      <c r="B39" s="4">
        <v>14.5</v>
      </c>
      <c r="C39" s="4">
        <v>89.6</v>
      </c>
      <c r="D39" s="4">
        <v>117.8</v>
      </c>
      <c r="G39" t="s">
        <v>43</v>
      </c>
      <c r="H39" s="5">
        <v>6.5344749887336642E-2</v>
      </c>
      <c r="I39" s="5">
        <v>0.40378548895899052</v>
      </c>
      <c r="J39" s="5">
        <v>0.53086976115367279</v>
      </c>
    </row>
    <row r="40" spans="1:10" x14ac:dyDescent="0.3">
      <c r="A40" t="s">
        <v>44</v>
      </c>
      <c r="B40" s="4">
        <v>14.8</v>
      </c>
      <c r="C40" s="4">
        <v>94</v>
      </c>
      <c r="D40" s="4">
        <v>119.8</v>
      </c>
      <c r="G40" t="s">
        <v>44</v>
      </c>
      <c r="H40" s="5">
        <v>6.4741907261592305E-2</v>
      </c>
      <c r="I40" s="5">
        <v>0.41119860017497811</v>
      </c>
      <c r="J40" s="5">
        <v>0.52405949256342954</v>
      </c>
    </row>
    <row r="41" spans="1:10" x14ac:dyDescent="0.3">
      <c r="A41" t="s">
        <v>45</v>
      </c>
      <c r="B41" s="4">
        <v>15.2</v>
      </c>
      <c r="C41" s="4">
        <v>94.7</v>
      </c>
      <c r="D41" s="4">
        <v>118.3</v>
      </c>
      <c r="G41" t="s">
        <v>45</v>
      </c>
      <c r="H41" s="5">
        <v>6.660823838737949E-2</v>
      </c>
      <c r="I41" s="5">
        <v>0.41498685363716042</v>
      </c>
      <c r="J41" s="5">
        <v>0.51840490797546013</v>
      </c>
    </row>
    <row r="42" spans="1:10" x14ac:dyDescent="0.3">
      <c r="A42" t="s">
        <v>46</v>
      </c>
      <c r="B42" s="4">
        <v>14.7</v>
      </c>
      <c r="C42" s="4">
        <v>94.6</v>
      </c>
      <c r="D42" s="4">
        <v>116</v>
      </c>
      <c r="G42" t="s">
        <v>46</v>
      </c>
      <c r="H42" s="5">
        <v>6.5246338215712379E-2</v>
      </c>
      <c r="I42" s="5">
        <v>0.41988459831335989</v>
      </c>
      <c r="J42" s="5">
        <v>0.51486906347092765</v>
      </c>
    </row>
    <row r="43" spans="1:10" x14ac:dyDescent="0.3">
      <c r="A43" t="s">
        <v>47</v>
      </c>
      <c r="B43" s="4">
        <v>15.6</v>
      </c>
      <c r="C43" s="4">
        <v>98.7</v>
      </c>
      <c r="D43" s="4">
        <v>118.8</v>
      </c>
      <c r="G43" t="s">
        <v>47</v>
      </c>
      <c r="H43" s="5">
        <v>6.6924066924066924E-2</v>
      </c>
      <c r="I43" s="5">
        <v>0.42342342342342343</v>
      </c>
      <c r="J43" s="5">
        <v>0.50965250965250963</v>
      </c>
    </row>
    <row r="44" spans="1:10" x14ac:dyDescent="0.3">
      <c r="A44" t="s">
        <v>48</v>
      </c>
      <c r="B44" s="4">
        <v>16.3</v>
      </c>
      <c r="C44" s="4">
        <v>99.5</v>
      </c>
      <c r="D44" s="4">
        <v>116.4</v>
      </c>
      <c r="G44" t="s">
        <v>48</v>
      </c>
      <c r="H44" s="5">
        <v>7.0198105081826015E-2</v>
      </c>
      <c r="I44" s="5">
        <v>0.42850990525409133</v>
      </c>
      <c r="J44" s="5">
        <v>0.50129198966408273</v>
      </c>
    </row>
    <row r="45" spans="1:10" x14ac:dyDescent="0.3">
      <c r="A45" t="s">
        <v>49</v>
      </c>
      <c r="B45" s="4">
        <v>16.600000000000001</v>
      </c>
      <c r="C45" s="4">
        <v>101.6</v>
      </c>
      <c r="D45" s="4">
        <v>116.9</v>
      </c>
      <c r="G45" t="s">
        <v>49</v>
      </c>
      <c r="H45" s="5">
        <v>7.0608251807741398E-2</v>
      </c>
      <c r="I45" s="5">
        <v>0.43215652913653763</v>
      </c>
      <c r="J45" s="5">
        <v>0.49723521905572099</v>
      </c>
    </row>
    <row r="46" spans="1:10" x14ac:dyDescent="0.3">
      <c r="A46" t="s">
        <v>50</v>
      </c>
      <c r="B46" s="4">
        <v>16.2</v>
      </c>
      <c r="C46" s="4">
        <v>103.1</v>
      </c>
      <c r="D46" s="4">
        <v>115</v>
      </c>
      <c r="G46" t="s">
        <v>50</v>
      </c>
      <c r="H46" s="5">
        <v>6.9142125480153638E-2</v>
      </c>
      <c r="I46" s="5">
        <v>0.44003414425949633</v>
      </c>
      <c r="J46" s="5">
        <v>0.49082373026034998</v>
      </c>
    </row>
    <row r="47" spans="1:10" x14ac:dyDescent="0.3">
      <c r="A47" t="s">
        <v>51</v>
      </c>
      <c r="B47" s="4">
        <v>16.5</v>
      </c>
      <c r="C47" s="4">
        <v>103.8</v>
      </c>
      <c r="D47" s="4">
        <v>114.7</v>
      </c>
      <c r="G47" t="s">
        <v>51</v>
      </c>
      <c r="H47" s="5">
        <v>7.0212765957446813E-2</v>
      </c>
      <c r="I47" s="5">
        <v>0.44170212765957445</v>
      </c>
      <c r="J47" s="5">
        <v>0.48808510638297875</v>
      </c>
    </row>
    <row r="48" spans="1:10" x14ac:dyDescent="0.3">
      <c r="A48" t="s">
        <v>52</v>
      </c>
      <c r="B48" s="4">
        <v>16.3</v>
      </c>
      <c r="C48" s="4">
        <v>103</v>
      </c>
      <c r="D48" s="4">
        <v>115.3</v>
      </c>
      <c r="G48" t="s">
        <v>52</v>
      </c>
      <c r="H48" s="5">
        <v>6.9479965899403251E-2</v>
      </c>
      <c r="I48" s="5">
        <v>0.43904518329070757</v>
      </c>
      <c r="J48" s="5">
        <v>0.49147485080988917</v>
      </c>
    </row>
    <row r="49" spans="1:10" x14ac:dyDescent="0.3">
      <c r="A49" t="s">
        <v>53</v>
      </c>
      <c r="B49" s="4">
        <v>15.9</v>
      </c>
      <c r="C49" s="4">
        <v>101.4</v>
      </c>
      <c r="D49" s="4">
        <v>111</v>
      </c>
      <c r="G49" t="s">
        <v>53</v>
      </c>
      <c r="H49" s="5">
        <v>6.9645203679369244E-2</v>
      </c>
      <c r="I49" s="5">
        <v>0.44415243101182655</v>
      </c>
      <c r="J49" s="5">
        <v>0.48620236530880417</v>
      </c>
    </row>
    <row r="50" spans="1:10" x14ac:dyDescent="0.3">
      <c r="A50" t="s">
        <v>54</v>
      </c>
      <c r="B50" s="4">
        <v>15.8</v>
      </c>
      <c r="C50" s="4">
        <v>96.9</v>
      </c>
      <c r="D50" s="4">
        <v>110.4</v>
      </c>
      <c r="G50" t="s">
        <v>54</v>
      </c>
      <c r="H50" s="5">
        <v>7.0820259973106231E-2</v>
      </c>
      <c r="I50" s="5">
        <v>0.43433437920215151</v>
      </c>
      <c r="J50" s="5">
        <v>0.49484536082474229</v>
      </c>
    </row>
    <row r="51" spans="1:10" x14ac:dyDescent="0.3">
      <c r="A51" t="s">
        <v>55</v>
      </c>
      <c r="B51" s="4">
        <v>15.8</v>
      </c>
      <c r="C51" s="4">
        <v>98.8</v>
      </c>
      <c r="D51" s="4">
        <v>106.5</v>
      </c>
      <c r="G51" t="s">
        <v>55</v>
      </c>
      <c r="H51" s="5">
        <v>7.1460877431026693E-2</v>
      </c>
      <c r="I51" s="5">
        <v>0.44685662596110359</v>
      </c>
      <c r="J51" s="5">
        <v>0.48168249660786977</v>
      </c>
    </row>
    <row r="52" spans="1:10" x14ac:dyDescent="0.3">
      <c r="A52" t="s">
        <v>56</v>
      </c>
      <c r="B52" s="4">
        <v>14.9</v>
      </c>
      <c r="C52" s="4">
        <v>99.3</v>
      </c>
      <c r="D52" s="4">
        <v>102</v>
      </c>
      <c r="G52" t="s">
        <v>56</v>
      </c>
      <c r="H52" s="5">
        <v>6.8917668825161899E-2</v>
      </c>
      <c r="I52" s="5">
        <v>0.45929694727104536</v>
      </c>
      <c r="J52" s="5">
        <v>0.47178538390379282</v>
      </c>
    </row>
    <row r="53" spans="1:10" x14ac:dyDescent="0.3">
      <c r="A53" t="s">
        <v>57</v>
      </c>
      <c r="B53" s="4">
        <v>14.2</v>
      </c>
      <c r="C53" s="4">
        <v>96.7</v>
      </c>
      <c r="D53" s="4">
        <v>102.4</v>
      </c>
      <c r="G53" t="s">
        <v>57</v>
      </c>
      <c r="H53" s="5">
        <v>6.6572902015939989E-2</v>
      </c>
      <c r="I53" s="5">
        <v>0.45335208626347867</v>
      </c>
      <c r="J53" s="5">
        <v>0.48007501172058137</v>
      </c>
    </row>
    <row r="54" spans="1:10" x14ac:dyDescent="0.3">
      <c r="A54" t="s">
        <v>58</v>
      </c>
      <c r="B54" s="4">
        <v>14.3</v>
      </c>
      <c r="C54" s="4">
        <v>98.2</v>
      </c>
      <c r="D54" s="4">
        <v>102.3</v>
      </c>
      <c r="G54" t="s">
        <v>58</v>
      </c>
      <c r="H54" s="5">
        <v>6.6573556797020483E-2</v>
      </c>
      <c r="I54" s="5">
        <v>0.45716945996275604</v>
      </c>
      <c r="J54" s="5">
        <v>0.47625698324022342</v>
      </c>
    </row>
    <row r="55" spans="1:10" x14ac:dyDescent="0.3">
      <c r="A55" t="s">
        <v>59</v>
      </c>
      <c r="B55" s="4">
        <v>14.6</v>
      </c>
      <c r="C55" s="4">
        <v>99.6</v>
      </c>
      <c r="D55" s="4">
        <v>99.2</v>
      </c>
      <c r="G55" t="s">
        <v>59</v>
      </c>
      <c r="H55" s="5">
        <v>6.8416119962511707E-2</v>
      </c>
      <c r="I55" s="5">
        <v>0.46672914714151825</v>
      </c>
      <c r="J55" s="5">
        <v>0.46485473289597001</v>
      </c>
    </row>
    <row r="56" spans="1:10" x14ac:dyDescent="0.3">
      <c r="A56" t="s">
        <v>60</v>
      </c>
      <c r="B56" s="4">
        <v>15.5</v>
      </c>
      <c r="C56" s="4">
        <v>105.2</v>
      </c>
      <c r="D56" s="4">
        <v>103</v>
      </c>
      <c r="G56" t="s">
        <v>60</v>
      </c>
      <c r="H56" s="5">
        <v>6.9289226642825219E-2</v>
      </c>
      <c r="I56" s="5">
        <v>0.47027268663388472</v>
      </c>
      <c r="J56" s="5">
        <v>0.46043808672329012</v>
      </c>
    </row>
    <row r="57" spans="1:10" x14ac:dyDescent="0.3">
      <c r="A57" t="s">
        <v>61</v>
      </c>
      <c r="B57" s="4"/>
      <c r="C57" s="4">
        <v>107.6</v>
      </c>
      <c r="D57" s="4">
        <v>106.6</v>
      </c>
      <c r="G57" t="s">
        <v>61</v>
      </c>
      <c r="H57" s="5"/>
      <c r="I57" s="5">
        <v>0.50233426704014938</v>
      </c>
      <c r="J57" s="5">
        <v>0.49766573295985062</v>
      </c>
    </row>
  </sheetData>
  <pageMargins left="0.7" right="0.7" top="0.75" bottom="0.75" header="0.3" footer="0.3"/>
  <pageSetup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198EAB1-0787-452E-86F9-E91CA6F85635}">
  <ds:schemaRefs/>
</ds:datastoreItem>
</file>

<file path=customXml/itemProps2.xml><?xml version="1.0" encoding="utf-8"?>
<ds:datastoreItem xmlns:ds="http://schemas.openxmlformats.org/officeDocument/2006/customXml" ds:itemID="{5E92F573-BE1A-427F-8ED0-0B43945A8C2B}">
  <ds:schemaRefs/>
</ds:datastoreItem>
</file>

<file path=customXml/itemProps3.xml><?xml version="1.0" encoding="utf-8"?>
<ds:datastoreItem xmlns:ds="http://schemas.openxmlformats.org/officeDocument/2006/customXml" ds:itemID="{9B22A8B8-3B43-49B1-851E-88355BB286A8}">
  <ds:schemaRefs/>
</ds:datastoreItem>
</file>

<file path=customXml/itemProps4.xml><?xml version="1.0" encoding="utf-8"?>
<ds:datastoreItem xmlns:ds="http://schemas.openxmlformats.org/officeDocument/2006/customXml" ds:itemID="{B7E7C1C9-0F80-461A-BCD7-3B3AEF33909C}">
  <ds:schemaRefs/>
</ds:datastoreItem>
</file>

<file path=customXml/itemProps5.xml><?xml version="1.0" encoding="utf-8"?>
<ds:datastoreItem xmlns:ds="http://schemas.openxmlformats.org/officeDocument/2006/customXml" ds:itemID="{DDD326D1-F550-46C8-B837-23069236B111}">
  <ds:schemaRefs/>
</ds:datastoreItem>
</file>

<file path=customXml/itemProps6.xml><?xml version="1.0" encoding="utf-8"?>
<ds:datastoreItem xmlns:ds="http://schemas.openxmlformats.org/officeDocument/2006/customXml" ds:itemID="{8F90F4B2-266B-4D72-89CC-5971210C42CB}">
  <ds:schemaRefs/>
</ds:datastoreItem>
</file>

<file path=customXml/itemProps7.xml><?xml version="1.0" encoding="utf-8"?>
<ds:datastoreItem xmlns:ds="http://schemas.openxmlformats.org/officeDocument/2006/customXml" ds:itemID="{D78C84D1-1D03-479F-9D7E-030147E8BD96}">
  <ds:schemaRefs/>
</ds:datastoreItem>
</file>

<file path=customXml/itemProps8.xml><?xml version="1.0" encoding="utf-8"?>
<ds:datastoreItem xmlns:ds="http://schemas.openxmlformats.org/officeDocument/2006/customXml" ds:itemID="{96045332-68CB-4112-BC57-8DC07507FB8F}">
  <ds:schemaRefs/>
</ds:datastoreItem>
</file>

<file path=customXml/itemProps9.xml><?xml version="1.0" encoding="utf-8"?>
<ds:datastoreItem xmlns:ds="http://schemas.openxmlformats.org/officeDocument/2006/customXml" ds:itemID="{8F7223E0-3E33-4FAE-8843-B3A7487EDB79}">
  <ds:schemaRefs/>
</ds:datastoreItem>
</file>

<file path=customXml/itemProps10.xml><?xml version="1.0" encoding="utf-8"?>
<ds:datastoreItem xmlns:ds="http://schemas.openxmlformats.org/officeDocument/2006/customXml" ds:itemID="{DE6F4A1D-3E19-488A-B4A2-E66E75938954}">
  <ds:schemaRefs/>
</ds:datastoreItem>
</file>

<file path=customXml/itemProps11.xml><?xml version="1.0" encoding="utf-8"?>
<ds:datastoreItem xmlns:ds="http://schemas.openxmlformats.org/officeDocument/2006/customXml" ds:itemID="{5A04917F-B1AF-45A2-B0A6-1B93FD5455D6}">
  <ds:schemaRefs/>
</ds:datastoreItem>
</file>

<file path=customXml/itemProps12.xml><?xml version="1.0" encoding="utf-8"?>
<ds:datastoreItem xmlns:ds="http://schemas.openxmlformats.org/officeDocument/2006/customXml" ds:itemID="{97479016-C27E-4896-874B-EB4A09342F77}">
  <ds:schemaRefs/>
</ds:datastoreItem>
</file>

<file path=customXml/itemProps13.xml><?xml version="1.0" encoding="utf-8"?>
<ds:datastoreItem xmlns:ds="http://schemas.openxmlformats.org/officeDocument/2006/customXml" ds:itemID="{9DD1D5D3-7486-4D45-A772-0ADFAA9E2000}">
  <ds:schemaRefs/>
</ds:datastoreItem>
</file>

<file path=customXml/itemProps14.xml><?xml version="1.0" encoding="utf-8"?>
<ds:datastoreItem xmlns:ds="http://schemas.openxmlformats.org/officeDocument/2006/customXml" ds:itemID="{9B79D7C8-6458-472A-A2B7-F3D79E9A2650}">
  <ds:schemaRefs/>
</ds:datastoreItem>
</file>

<file path=customXml/itemProps15.xml><?xml version="1.0" encoding="utf-8"?>
<ds:datastoreItem xmlns:ds="http://schemas.openxmlformats.org/officeDocument/2006/customXml" ds:itemID="{96D459B7-55C5-4280-9B57-E866552DDB1B}">
  <ds:schemaRefs/>
</ds:datastoreItem>
</file>

<file path=customXml/itemProps16.xml><?xml version="1.0" encoding="utf-8"?>
<ds:datastoreItem xmlns:ds="http://schemas.openxmlformats.org/officeDocument/2006/customXml" ds:itemID="{0754447D-D309-4487-B9D4-18868016556D}">
  <ds:schemaRefs/>
</ds:datastoreItem>
</file>

<file path=customXml/itemProps17.xml><?xml version="1.0" encoding="utf-8"?>
<ds:datastoreItem xmlns:ds="http://schemas.openxmlformats.org/officeDocument/2006/customXml" ds:itemID="{292187F5-D637-4623-935C-143AC2C6CCEA}">
  <ds:schemaRefs/>
</ds:datastoreItem>
</file>

<file path=customXml/itemProps18.xml><?xml version="1.0" encoding="utf-8"?>
<ds:datastoreItem xmlns:ds="http://schemas.openxmlformats.org/officeDocument/2006/customXml" ds:itemID="{D22A6538-D8C7-47B2-B966-D48ED0C8FF3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Patryk Krajewski</dc:creator>
  <cp:lastModifiedBy>Patryk Krajewski</cp:lastModifiedBy>
  <dcterms:created xsi:type="dcterms:W3CDTF">2015-06-05T18:17:20Z</dcterms:created>
  <dcterms:modified xsi:type="dcterms:W3CDTF">2021-04-28T11:23:28Z</dcterms:modified>
</cp:coreProperties>
</file>